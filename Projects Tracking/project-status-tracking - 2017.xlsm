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defaultThemeVersion="124226"/>
  <bookViews>
    <workbookView xWindow="0" yWindow="0" windowWidth="28800" windowHeight="13440" tabRatio="432"/>
  </bookViews>
  <sheets>
    <sheet name="项目跟踪表" sheetId="178" r:id="rId1"/>
    <sheet name="Sheet1" sheetId="181" r:id="rId2"/>
    <sheet name="dictionary" sheetId="179" r:id="rId3"/>
    <sheet name="紧急项目一览" sheetId="180" r:id="rId4"/>
  </sheets>
  <externalReferences>
    <externalReference r:id="rId5"/>
  </externalReferences>
  <definedNames>
    <definedName name="_xlnm._FilterDatabase" localSheetId="0" hidden="1">项目跟踪表!$J$1:$J$108</definedName>
  </definedNames>
  <calcPr calcId="162913"/>
</workbook>
</file>

<file path=xl/calcChain.xml><?xml version="1.0" encoding="utf-8"?>
<calcChain xmlns="http://schemas.openxmlformats.org/spreadsheetml/2006/main">
  <c r="A51" i="178" l="1"/>
  <c r="A49" i="178"/>
  <c r="A61" i="178" l="1"/>
  <c r="A26" i="178"/>
  <c r="A107" i="178"/>
  <c r="A106" i="178"/>
  <c r="A100" i="178"/>
  <c r="A66" i="178"/>
  <c r="A98" i="178"/>
  <c r="A97" i="178"/>
  <c r="A93" i="178"/>
  <c r="A77" i="178" l="1"/>
  <c r="A78" i="178"/>
  <c r="A88" i="178"/>
  <c r="A67" i="178"/>
  <c r="A65" i="178" l="1"/>
  <c r="A64" i="178"/>
  <c r="A68" i="178"/>
  <c r="A69" i="178"/>
  <c r="A70" i="178"/>
  <c r="A60" i="178"/>
  <c r="A62" i="178"/>
  <c r="A63" i="178"/>
  <c r="A59" i="178"/>
  <c r="A57" i="178"/>
  <c r="A58" i="178"/>
  <c r="A55" i="178"/>
  <c r="A56" i="178"/>
  <c r="A101" i="178" l="1"/>
  <c r="A80" i="178" l="1"/>
  <c r="A48" i="178"/>
  <c r="A31" i="178"/>
  <c r="A15" i="178"/>
  <c r="A19" i="178"/>
  <c r="A4" i="178"/>
  <c r="A43" i="178"/>
  <c r="A85" i="178"/>
  <c r="A32" i="178"/>
  <c r="A84" i="178"/>
  <c r="A83" i="178"/>
  <c r="A86" i="178"/>
  <c r="A24" i="178"/>
  <c r="A44" i="178"/>
  <c r="A12" i="178"/>
  <c r="A20" i="178"/>
  <c r="A52" i="178"/>
  <c r="A74" i="178"/>
  <c r="A102" i="178"/>
  <c r="A21" i="178"/>
  <c r="A22" i="178"/>
  <c r="A82" i="178"/>
  <c r="A42" i="178"/>
  <c r="A14" i="178"/>
  <c r="A23" i="178"/>
  <c r="A25" i="178"/>
  <c r="A99" i="178"/>
  <c r="A105" i="178"/>
  <c r="A90" i="178"/>
  <c r="A71" i="178"/>
  <c r="A72" i="178"/>
  <c r="A35" i="178"/>
  <c r="A37" i="178"/>
  <c r="A11" i="178"/>
  <c r="A10" i="178"/>
  <c r="A108" i="178"/>
  <c r="A104" i="178"/>
  <c r="A103" i="178"/>
  <c r="A96" i="178"/>
  <c r="A95" i="178"/>
  <c r="A94" i="178"/>
  <c r="A92" i="178"/>
  <c r="A91" i="178"/>
  <c r="A89" i="178"/>
  <c r="A79" i="178"/>
  <c r="A87" i="178"/>
  <c r="A81" i="178"/>
  <c r="A76" i="178"/>
  <c r="A73" i="178"/>
  <c r="A54" i="178"/>
  <c r="A53" i="178"/>
  <c r="A47" i="178"/>
  <c r="A46" i="178"/>
  <c r="A45" i="178"/>
  <c r="A41" i="178"/>
  <c r="A40" i="178"/>
  <c r="A39" i="178"/>
  <c r="A38" i="178"/>
  <c r="A36" i="178"/>
  <c r="A34" i="178"/>
  <c r="A33" i="178"/>
  <c r="A30" i="178"/>
  <c r="A29" i="178"/>
  <c r="A28" i="178"/>
  <c r="A27" i="178"/>
  <c r="A18" i="178"/>
  <c r="A17" i="178"/>
  <c r="A16" i="178"/>
  <c r="A9" i="178"/>
  <c r="A8" i="178"/>
  <c r="A7" i="178"/>
  <c r="A6" i="178"/>
  <c r="A5" i="178"/>
  <c r="E2" i="178" l="1"/>
</calcChain>
</file>

<file path=xl/sharedStrings.xml><?xml version="1.0" encoding="utf-8"?>
<sst xmlns="http://schemas.openxmlformats.org/spreadsheetml/2006/main" count="1227" uniqueCount="658">
  <si>
    <t>序号</t>
    <phoneticPr fontId="1" type="noConversion"/>
  </si>
  <si>
    <t>商务</t>
    <phoneticPr fontId="1" type="noConversion"/>
  </si>
  <si>
    <t>备注</t>
    <phoneticPr fontId="1" type="noConversion"/>
  </si>
  <si>
    <t>客户</t>
    <phoneticPr fontId="1" type="noConversion"/>
  </si>
  <si>
    <t>售前</t>
    <phoneticPr fontId="1" type="noConversion"/>
  </si>
  <si>
    <t>实施</t>
    <phoneticPr fontId="1" type="noConversion"/>
  </si>
  <si>
    <t>状态</t>
    <phoneticPr fontId="1" type="noConversion"/>
  </si>
  <si>
    <t>涉及产品</t>
    <phoneticPr fontId="1" type="noConversion"/>
  </si>
  <si>
    <t>焦清旺</t>
    <phoneticPr fontId="1" type="noConversion"/>
  </si>
  <si>
    <t>徐燕红</t>
    <phoneticPr fontId="1" type="noConversion"/>
  </si>
  <si>
    <t>industry</t>
  </si>
  <si>
    <t>01-银行业</t>
  </si>
  <si>
    <t>01-银行业</t>
    <phoneticPr fontId="1" type="noConversion"/>
  </si>
  <si>
    <t>03-消费金融行业</t>
  </si>
  <si>
    <t>03-消费金融行业</t>
    <phoneticPr fontId="1" type="noConversion"/>
  </si>
  <si>
    <t>04-招投标行业</t>
    <phoneticPr fontId="1" type="noConversion"/>
  </si>
  <si>
    <t>05-公积金行业</t>
    <phoneticPr fontId="1" type="noConversion"/>
  </si>
  <si>
    <t>07-互联网金融</t>
    <phoneticPr fontId="1" type="noConversion"/>
  </si>
  <si>
    <t>08-通讯行业</t>
    <phoneticPr fontId="1" type="noConversion"/>
  </si>
  <si>
    <t>09-融资租赁行业</t>
    <phoneticPr fontId="1" type="noConversion"/>
  </si>
  <si>
    <t>10-港口</t>
  </si>
  <si>
    <t>10-港口</t>
    <phoneticPr fontId="1" type="noConversion"/>
  </si>
  <si>
    <t>11-信托行业</t>
  </si>
  <si>
    <t>11-信托行业</t>
    <phoneticPr fontId="1" type="noConversion"/>
  </si>
  <si>
    <t>12-保险行业</t>
  </si>
  <si>
    <t>12-保险行业</t>
    <phoneticPr fontId="1" type="noConversion"/>
  </si>
  <si>
    <t>02-P2P行业</t>
    <phoneticPr fontId="1" type="noConversion"/>
  </si>
  <si>
    <t>06-互联网其他行业</t>
    <phoneticPr fontId="1" type="noConversion"/>
  </si>
  <si>
    <t>Products</t>
    <phoneticPr fontId="1" type="noConversion"/>
  </si>
  <si>
    <t>01-无纸化手写电子签名系统</t>
    <phoneticPr fontId="1" type="noConversion"/>
  </si>
  <si>
    <t>02-无纸化手写签名中间件（Windows）</t>
    <phoneticPr fontId="1" type="noConversion"/>
  </si>
  <si>
    <t>03-无纸化手写签名中间件（iOS）</t>
    <phoneticPr fontId="1" type="noConversion"/>
  </si>
  <si>
    <t>04-无纸化手写签名中间件（Android）</t>
    <phoneticPr fontId="1" type="noConversion"/>
  </si>
  <si>
    <t>05-无纸化手写签名中间件（weChat）</t>
    <phoneticPr fontId="1" type="noConversion"/>
  </si>
  <si>
    <t>06-安心签系统</t>
    <phoneticPr fontId="1" type="noConversion"/>
  </si>
  <si>
    <t>08-时间戳服务器</t>
    <phoneticPr fontId="1" type="noConversion"/>
  </si>
  <si>
    <t>07-远程时间戳服务</t>
    <phoneticPr fontId="1" type="noConversion"/>
  </si>
  <si>
    <t>09-场景证书</t>
    <phoneticPr fontId="1" type="noConversion"/>
  </si>
  <si>
    <t>10-个人证书</t>
    <phoneticPr fontId="1" type="noConversion"/>
  </si>
  <si>
    <t>Status</t>
    <phoneticPr fontId="1" type="noConversion"/>
  </si>
  <si>
    <t>Stage</t>
    <phoneticPr fontId="1" type="noConversion"/>
  </si>
  <si>
    <t>01-进行中</t>
  </si>
  <si>
    <t>01-进行中</t>
    <phoneticPr fontId="1" type="noConversion"/>
  </si>
  <si>
    <t>03-暂停</t>
    <phoneticPr fontId="1" type="noConversion"/>
  </si>
  <si>
    <t>01-售前-方案交流</t>
    <phoneticPr fontId="1" type="noConversion"/>
  </si>
  <si>
    <t>02-售前-需求分析</t>
    <phoneticPr fontId="1" type="noConversion"/>
  </si>
  <si>
    <t>03-售前-POC测试</t>
    <phoneticPr fontId="1" type="noConversion"/>
  </si>
  <si>
    <t>04-售前-投标</t>
    <phoneticPr fontId="1" type="noConversion"/>
  </si>
  <si>
    <t>05-售前-待启动实施</t>
    <phoneticPr fontId="1" type="noConversion"/>
  </si>
  <si>
    <t>06-实施-实施方案制定</t>
    <phoneticPr fontId="1" type="noConversion"/>
  </si>
  <si>
    <t>07-实施-环境搭建</t>
    <phoneticPr fontId="1" type="noConversion"/>
  </si>
  <si>
    <t>08-实施-集成开发</t>
  </si>
  <si>
    <t>08-实施-集成开发</t>
    <phoneticPr fontId="1" type="noConversion"/>
  </si>
  <si>
    <t>09-实施-集成测试</t>
    <phoneticPr fontId="1" type="noConversion"/>
  </si>
  <si>
    <t>10-实施-预上线</t>
    <phoneticPr fontId="1" type="noConversion"/>
  </si>
  <si>
    <t>11-实施-工单、流程</t>
    <phoneticPr fontId="1" type="noConversion"/>
  </si>
  <si>
    <t>12-实施-上线</t>
    <phoneticPr fontId="1" type="noConversion"/>
  </si>
  <si>
    <t>02-完成</t>
    <phoneticPr fontId="1" type="noConversion"/>
  </si>
  <si>
    <t>04-结束</t>
    <phoneticPr fontId="1" type="noConversion"/>
  </si>
  <si>
    <t>03-无纸化手写签名中间件（iOS）_x000D_
07-远程时间戳服务_x000D_
10-个人证书_x000D_
12-蓝牙Key</t>
    <phoneticPr fontId="1" type="noConversion"/>
  </si>
  <si>
    <t>01-无纸化手写电子签名系统_x000D_
02-无纸化手写签名中间件（Windows）_x000D_
03-无纸化手写签名中间件（iOS）_x000D_
04-无纸化手写签名中间件（Android）_x000D_
09-场景证书_x000D_
11-企业证书</t>
  </si>
  <si>
    <t>项目名称</t>
    <phoneticPr fontId="1" type="noConversion"/>
  </si>
  <si>
    <t>秦皇岛岛港无纸化建设项目</t>
    <phoneticPr fontId="1" type="noConversion"/>
  </si>
  <si>
    <t>行业类别</t>
    <phoneticPr fontId="1" type="noConversion"/>
  </si>
  <si>
    <t>项目阶段</t>
    <phoneticPr fontId="1" type="noConversion"/>
  </si>
  <si>
    <t>13-运营商</t>
    <phoneticPr fontId="1" type="noConversion"/>
  </si>
  <si>
    <t>11-设备证书</t>
    <phoneticPr fontId="1" type="noConversion"/>
  </si>
  <si>
    <t>12-企业证书</t>
    <phoneticPr fontId="1" type="noConversion"/>
  </si>
  <si>
    <t>13-蓝牙Key</t>
    <phoneticPr fontId="1" type="noConversion"/>
  </si>
  <si>
    <t>14-统一身份认证平台</t>
    <phoneticPr fontId="1" type="noConversion"/>
  </si>
  <si>
    <t>15-云证通</t>
    <phoneticPr fontId="1" type="noConversion"/>
  </si>
  <si>
    <t>16-签名验签服务器</t>
    <phoneticPr fontId="1" type="noConversion"/>
  </si>
  <si>
    <t>17-RA</t>
    <phoneticPr fontId="1" type="noConversion"/>
  </si>
  <si>
    <t>18-预植前置</t>
    <phoneticPr fontId="1" type="noConversion"/>
  </si>
  <si>
    <t>Report Day</t>
    <phoneticPr fontId="1" type="noConversion"/>
  </si>
  <si>
    <t>第二组项目跟踪表</t>
    <phoneticPr fontId="1" type="noConversion"/>
  </si>
  <si>
    <t>2016-1-6</t>
    <phoneticPr fontId="1" type="noConversion"/>
  </si>
  <si>
    <t>19-电子签章系统</t>
    <phoneticPr fontId="1" type="noConversion"/>
  </si>
  <si>
    <t>20-电子签章控件（Windows）</t>
    <phoneticPr fontId="1" type="noConversion"/>
  </si>
  <si>
    <t>21-电子签章控件（iOS）</t>
    <phoneticPr fontId="1" type="noConversion"/>
  </si>
  <si>
    <t>22-电子签章控件（Android）</t>
    <phoneticPr fontId="1" type="noConversion"/>
  </si>
  <si>
    <t>14-政务行业</t>
    <phoneticPr fontId="1" type="noConversion"/>
  </si>
  <si>
    <t>15-开发商</t>
    <phoneticPr fontId="1" type="noConversion"/>
  </si>
  <si>
    <t>05-终止</t>
    <phoneticPr fontId="1" type="noConversion"/>
  </si>
  <si>
    <t>刘红日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</si>
  <si>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</si>
  <si>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05-售前-待启动实施</t>
  </si>
  <si>
    <t>2016-9-11</t>
    <phoneticPr fontId="1" type="noConversion"/>
  </si>
  <si>
    <t>Z - 中融信托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</si>
  <si>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</si>
  <si>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王自冲</t>
    <phoneticPr fontId="1" type="noConversion"/>
  </si>
  <si>
    <t>海尔日日顺无纸化建设项目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</si>
  <si>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</si>
  <si>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2016-9-11</t>
    <phoneticPr fontId="1" type="noConversion"/>
  </si>
  <si>
    <t>16-物流行业</t>
  </si>
  <si>
    <t>16-物流行业</t>
    <phoneticPr fontId="1" type="noConversion"/>
  </si>
  <si>
    <t>李达</t>
    <phoneticPr fontId="1" type="noConversion"/>
  </si>
  <si>
    <t>韩智凯、刘红日</t>
    <phoneticPr fontId="1" type="noConversion"/>
  </si>
  <si>
    <t>周丹丹</t>
    <phoneticPr fontId="1" type="noConversion"/>
  </si>
  <si>
    <t>焦清旺</t>
    <phoneticPr fontId="1" type="noConversion"/>
  </si>
  <si>
    <t>韩智凯</t>
    <phoneticPr fontId="1" type="noConversion"/>
  </si>
  <si>
    <t>01-无纸化手写电子签名系统_x000D_
02-无纸化手写签名中间件（Windows）_x000D_
03-无纸化手写签名中间件（iOS）_x000D_
04-无纸化手写签名中间件（Android）_x000D_
08-时间戳服务器_x000D_
09-场景证书_x000D_
10-个人证书_x000D_
11-设备证书_x000D_
12-企业证书_x000D_
16-签名验签服务器</t>
    <phoneticPr fontId="1" type="noConversion"/>
  </si>
  <si>
    <t>杨梅</t>
    <phoneticPr fontId="1" type="noConversion"/>
  </si>
  <si>
    <t>李达</t>
    <phoneticPr fontId="1" type="noConversion"/>
  </si>
  <si>
    <t>郑旭东</t>
    <phoneticPr fontId="1" type="noConversion"/>
  </si>
  <si>
    <t>2017-1</t>
    <phoneticPr fontId="1" type="noConversion"/>
  </si>
  <si>
    <t>Z - 郑州银行</t>
    <phoneticPr fontId="1" type="noConversion"/>
  </si>
  <si>
    <t>郑州银行柜面无纸化建设项目</t>
    <phoneticPr fontId="1" type="noConversion"/>
  </si>
  <si>
    <t>安雨萌</t>
    <phoneticPr fontId="1" type="noConversion"/>
  </si>
  <si>
    <t>李达/焦清旺</t>
    <phoneticPr fontId="1" type="noConversion"/>
  </si>
  <si>
    <t>X - 西安银行</t>
    <phoneticPr fontId="1" type="noConversion"/>
  </si>
  <si>
    <t>西安银行无纸化建设项目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</si>
  <si>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</t>
  </si>
  <si>
    <t>2016-10</t>
    <phoneticPr fontId="1" type="noConversion"/>
  </si>
  <si>
    <t>H - 湖北消费金融</t>
    <phoneticPr fontId="1" type="noConversion"/>
  </si>
  <si>
    <t>湖北消费金融无纸化建设项目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</si>
  <si>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17-RA</t>
  </si>
  <si>
    <t>2017-1</t>
    <phoneticPr fontId="1" type="noConversion"/>
  </si>
  <si>
    <t>杨敏</t>
    <phoneticPr fontId="1" type="noConversion"/>
  </si>
  <si>
    <t>Z - 中原消费金融</t>
    <phoneticPr fontId="1" type="noConversion"/>
  </si>
  <si>
    <t>中原消费无纸化建设项目</t>
    <phoneticPr fontId="1" type="noConversion"/>
  </si>
  <si>
    <t>2015-11</t>
    <phoneticPr fontId="1" type="noConversion"/>
  </si>
  <si>
    <t>刘巍屹</t>
    <phoneticPr fontId="1" type="noConversion"/>
  </si>
  <si>
    <t>焦清旺、王自冲</t>
    <phoneticPr fontId="1" type="noConversion"/>
  </si>
  <si>
    <t>刘红日</t>
    <phoneticPr fontId="1" type="noConversion"/>
  </si>
  <si>
    <t>13-实施-试运行</t>
  </si>
  <si>
    <t>13-实施-试运行</t>
    <phoneticPr fontId="1" type="noConversion"/>
  </si>
  <si>
    <t>14-实施-验收</t>
    <phoneticPr fontId="1" type="noConversion"/>
  </si>
  <si>
    <t>15-实施-培训</t>
    <phoneticPr fontId="1" type="noConversion"/>
  </si>
  <si>
    <t>16-实施-结束转售后</t>
    <phoneticPr fontId="1" type="noConversion"/>
  </si>
  <si>
    <t>09-实施-集成测试</t>
  </si>
  <si>
    <t>03-售前-POC测试</t>
  </si>
  <si>
    <t>06-实施-实施方案制定</t>
  </si>
  <si>
    <t>2017-2</t>
    <phoneticPr fontId="1" type="noConversion"/>
  </si>
  <si>
    <t>李毅</t>
    <phoneticPr fontId="1" type="noConversion"/>
  </si>
  <si>
    <t>H - 恒天明泽基金销售有限公司</t>
    <phoneticPr fontId="1" type="noConversion"/>
  </si>
  <si>
    <t>恒天明泽电子合同平台建设项目</t>
    <phoneticPr fontId="1" type="noConversion"/>
  </si>
  <si>
    <t>17-基金行业</t>
  </si>
  <si>
    <t>17-基金行业</t>
    <phoneticPr fontId="1" type="noConversion"/>
  </si>
  <si>
    <t>18-合作伙伴</t>
    <phoneticPr fontId="1" type="noConversion"/>
  </si>
  <si>
    <t>李改燕</t>
    <phoneticPr fontId="1" type="noConversion"/>
  </si>
  <si>
    <t>2017-2</t>
    <phoneticPr fontId="1" type="noConversion"/>
  </si>
  <si>
    <t>韩智凯</t>
  </si>
  <si>
    <t>韩智凯</t>
    <phoneticPr fontId="1" type="noConversion"/>
  </si>
  <si>
    <t>融宝支付无纸化建设项目</t>
    <phoneticPr fontId="1" type="noConversion"/>
  </si>
  <si>
    <t>07-互联网金融</t>
  </si>
  <si>
    <t>刘立强</t>
    <phoneticPr fontId="1" type="noConversion"/>
  </si>
  <si>
    <t>H - 海尔日日顺</t>
    <phoneticPr fontId="1" type="noConversion"/>
  </si>
  <si>
    <t>H - 恒安标准人寿保险有限公司</t>
    <phoneticPr fontId="1" type="noConversion"/>
  </si>
  <si>
    <t>L - 兰州银行</t>
    <phoneticPr fontId="1" type="noConversion"/>
  </si>
  <si>
    <t>Q - 秦皇岛岛港</t>
    <phoneticPr fontId="1" type="noConversion"/>
  </si>
  <si>
    <t>T - 天津融宝支付网络有限公司</t>
    <phoneticPr fontId="1" type="noConversion"/>
  </si>
  <si>
    <t>P - 平顶山银行</t>
    <phoneticPr fontId="1" type="noConversion"/>
  </si>
  <si>
    <t>平顶山银行无纸化平台建设项目</t>
    <phoneticPr fontId="1" type="noConversion"/>
  </si>
  <si>
    <t>2017-3</t>
    <phoneticPr fontId="1" type="noConversion"/>
  </si>
  <si>
    <t>C - 长银五八消费金融有限公司</t>
    <phoneticPr fontId="1" type="noConversion"/>
  </si>
  <si>
    <t>长银五八消费金融无纸化建设项目</t>
    <phoneticPr fontId="1" type="noConversion"/>
  </si>
  <si>
    <t>2017-2</t>
    <phoneticPr fontId="1" type="noConversion"/>
  </si>
  <si>
    <t>吕冰</t>
    <phoneticPr fontId="1" type="noConversion"/>
  </si>
  <si>
    <t>韩智凯</t>
    <phoneticPr fontId="1" type="noConversion"/>
  </si>
  <si>
    <t>金城银行无纸化建设项目</t>
    <phoneticPr fontId="1" type="noConversion"/>
  </si>
  <si>
    <t>田太阳</t>
    <phoneticPr fontId="1" type="noConversion"/>
  </si>
  <si>
    <t>T - 天津金城银行</t>
    <phoneticPr fontId="1" type="noConversion"/>
  </si>
  <si>
    <t>A - 安投融（北京）网络科技有限公司</t>
    <phoneticPr fontId="1" type="noConversion"/>
  </si>
  <si>
    <t>爱投资无纸化建设项目</t>
    <phoneticPr fontId="1" type="noConversion"/>
  </si>
  <si>
    <t>02-P2P行业</t>
  </si>
  <si>
    <t>侯海涛</t>
    <phoneticPr fontId="1" type="noConversion"/>
  </si>
  <si>
    <t>J - 焦作中旅银行</t>
    <phoneticPr fontId="1" type="noConversion"/>
  </si>
  <si>
    <t>焦作中旅银行无纸化建设项目（一期）</t>
    <phoneticPr fontId="1" type="noConversion"/>
  </si>
  <si>
    <t>17-咨询-咨询设计</t>
    <phoneticPr fontId="1" type="noConversion"/>
  </si>
  <si>
    <t>19-咨询-验收阶段</t>
    <phoneticPr fontId="1" type="noConversion"/>
  </si>
  <si>
    <t>18-咨询-实施阶段</t>
  </si>
  <si>
    <t>18-咨询-实施阶段</t>
    <phoneticPr fontId="1" type="noConversion"/>
  </si>
  <si>
    <t>20-咨询-结束</t>
    <phoneticPr fontId="1" type="noConversion"/>
  </si>
  <si>
    <t>焦作中旅银行无纸化咨询项目（信贷业务-优质员工消费贷）</t>
    <phoneticPr fontId="1" type="noConversion"/>
  </si>
  <si>
    <t>Z - 中国石油</t>
    <phoneticPr fontId="1" type="noConversion"/>
  </si>
  <si>
    <t>中石油招投标平台无纸化建设项目（二期蓝牙Key切换）</t>
    <phoneticPr fontId="1" type="noConversion"/>
  </si>
  <si>
    <t>04-招投标行业</t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</si>
  <si>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08-时间戳服务器_x000D_
09-场景证书_x000D_
10-个人证书_x000D_
12-企业证书_x000D_
13-蓝牙Key_x000D_
18-预植前置_x000D_
23-trusSignPdf（Windows）_x000D_
29-手写签名屏</t>
    <phoneticPr fontId="1" type="noConversion"/>
  </si>
  <si>
    <t>王泱</t>
    <phoneticPr fontId="1" type="noConversion"/>
  </si>
  <si>
    <t>吴利东</t>
    <phoneticPr fontId="1" type="noConversion"/>
  </si>
  <si>
    <t>刘红日</t>
    <phoneticPr fontId="1" type="noConversion"/>
  </si>
  <si>
    <t>刘红日</t>
    <phoneticPr fontId="1" type="noConversion"/>
  </si>
  <si>
    <t>焦清旺</t>
    <phoneticPr fontId="1" type="noConversion"/>
  </si>
  <si>
    <t>H - 哈尔滨商业银行</t>
    <phoneticPr fontId="1" type="noConversion"/>
  </si>
  <si>
    <t>哈尔滨银行无纸化建设项目</t>
    <phoneticPr fontId="1" type="noConversion"/>
  </si>
  <si>
    <t>康蕾</t>
    <phoneticPr fontId="1" type="noConversion"/>
  </si>
  <si>
    <t>C - 长沙银行</t>
    <phoneticPr fontId="1" type="noConversion"/>
  </si>
  <si>
    <t>长沙银行VTM无纸化建设项目</t>
    <phoneticPr fontId="1" type="noConversion"/>
  </si>
  <si>
    <t>W - 威海银行</t>
    <phoneticPr fontId="1" type="noConversion"/>
  </si>
  <si>
    <t>威海银行无纸化建设项目</t>
    <phoneticPr fontId="1" type="noConversion"/>
  </si>
  <si>
    <t>尹璐</t>
    <phoneticPr fontId="1" type="noConversion"/>
  </si>
  <si>
    <t>H - 华融湘江银行</t>
    <phoneticPr fontId="1" type="noConversion"/>
  </si>
  <si>
    <t>王彬</t>
    <phoneticPr fontId="1" type="noConversion"/>
  </si>
  <si>
    <t>焦清旺、韩智凯</t>
    <phoneticPr fontId="1" type="noConversion"/>
  </si>
  <si>
    <t>李达、焦清旺</t>
    <phoneticPr fontId="1" type="noConversion"/>
  </si>
  <si>
    <t>刘通、李达</t>
    <phoneticPr fontId="1" type="noConversion"/>
  </si>
  <si>
    <t>12-实施-上线</t>
  </si>
  <si>
    <t>02-完成</t>
  </si>
  <si>
    <t>4月24日：本周开始实施</t>
    <phoneticPr fontId="1" type="noConversion"/>
  </si>
  <si>
    <t>刘红日</t>
    <phoneticPr fontId="1" type="noConversion"/>
  </si>
  <si>
    <t>4月24日：2月份POC测试完成</t>
    <phoneticPr fontId="1" type="noConversion"/>
  </si>
  <si>
    <t>4月24日：已上线完成</t>
    <phoneticPr fontId="1" type="noConversion"/>
  </si>
  <si>
    <t>4月24日：暂停，等待时间戳司法报告</t>
    <phoneticPr fontId="1" type="noConversion"/>
  </si>
  <si>
    <t>4月24日：POC测试已完成</t>
    <phoneticPr fontId="1" type="noConversion"/>
  </si>
  <si>
    <t>4月24日：已上线完成。</t>
    <phoneticPr fontId="1" type="noConversion"/>
  </si>
  <si>
    <t>H - 华融金融资产交易中心</t>
    <phoneticPr fontId="1" type="noConversion"/>
  </si>
  <si>
    <t>华融金融资产交易中心PC浏览器无纸化建设项目</t>
    <phoneticPr fontId="1" type="noConversion"/>
  </si>
  <si>
    <t>19-金融资产交易行业</t>
  </si>
  <si>
    <t>19-金融资产交易行业</t>
    <phoneticPr fontId="1" type="noConversion"/>
  </si>
  <si>
    <t>01-无纸化手写电子签名系统_x000D_
07-远程时间戳服务_x000D_
10-个人证书_x000D_
12-企业证书</t>
    <phoneticPr fontId="1" type="noConversion"/>
  </si>
  <si>
    <t>2017-4</t>
    <phoneticPr fontId="1" type="noConversion"/>
  </si>
  <si>
    <t>Y - 延边农商银行</t>
    <phoneticPr fontId="1" type="noConversion"/>
  </si>
  <si>
    <t>延边农商行无纸化建设项目</t>
    <phoneticPr fontId="1" type="noConversion"/>
  </si>
  <si>
    <t>01-无纸化手写电子签名系统_x000D_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</si>
  <si>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B - 渤海证券</t>
    <phoneticPr fontId="1" type="noConversion"/>
  </si>
  <si>
    <t>渤海证券互联网营业厅数字证书保管箱系统项目</t>
    <phoneticPr fontId="1" type="noConversion"/>
  </si>
  <si>
    <t>20-证券行业</t>
  </si>
  <si>
    <t>20-证券行业</t>
    <phoneticPr fontId="1" type="noConversion"/>
  </si>
  <si>
    <t>07-远程时间戳服务_x000D_
16-签名验签服务器_x000D_
19-电子签章系统_x000D_
20-电子签章控件（Windows）</t>
    <phoneticPr fontId="1" type="noConversion"/>
  </si>
  <si>
    <t>04-售前-投标</t>
  </si>
  <si>
    <t>王召阳</t>
    <phoneticPr fontId="1" type="noConversion"/>
  </si>
  <si>
    <t>4月24日：本周投标</t>
    <phoneticPr fontId="1" type="noConversion"/>
  </si>
  <si>
    <t>H - 华泰证券</t>
    <phoneticPr fontId="1" type="noConversion"/>
  </si>
  <si>
    <t>01-售前-方案交流</t>
  </si>
  <si>
    <t>Q - 奇瑞汽车金融</t>
    <phoneticPr fontId="1" type="noConversion"/>
  </si>
  <si>
    <t>01-无纸化手写电子签名系统_x000D_
05-无纸化手写签名中间件（weChat）_x000D_
07-远程时间戳服务_x000D_
09-场景证书</t>
    <phoneticPr fontId="1" type="noConversion"/>
  </si>
  <si>
    <t>李改艳</t>
    <phoneticPr fontId="1" type="noConversion"/>
  </si>
  <si>
    <t>Z - 中英人寿</t>
    <phoneticPr fontId="1" type="noConversion"/>
  </si>
  <si>
    <t>中英人寿自助报聘系统无纸化项目</t>
    <phoneticPr fontId="1" type="noConversion"/>
  </si>
  <si>
    <t>04-结束</t>
  </si>
  <si>
    <t>4月24日：投标失败</t>
    <phoneticPr fontId="1" type="noConversion"/>
  </si>
  <si>
    <t>S - 顺丰速递</t>
    <phoneticPr fontId="1" type="noConversion"/>
  </si>
  <si>
    <t>顺丰速递自助报聘系统无纸化项目</t>
    <phoneticPr fontId="1" type="noConversion"/>
  </si>
  <si>
    <t>01-无纸化手写电子签名系统_x000D_
03-无纸化手写签名中间件（iOS）_x000D_
04-无纸化手写签名中间件（Android）_x000D_
08-时间戳服务器_x000D_
09-场景证书</t>
    <phoneticPr fontId="1" type="noConversion"/>
  </si>
  <si>
    <t>冷薇</t>
    <phoneticPr fontId="1" type="noConversion"/>
  </si>
  <si>
    <t>焦清旺、刘通</t>
    <phoneticPr fontId="1" type="noConversion"/>
  </si>
  <si>
    <t>3月29日：正在实施中
5月7日：5月10日上线</t>
    <phoneticPr fontId="1" type="noConversion"/>
  </si>
  <si>
    <t>4月24日：客户近期启动实施
5月7日：5月15日上线</t>
    <phoneticPr fontId="1" type="noConversion"/>
  </si>
  <si>
    <t>H - 河北幸福消费金融</t>
    <phoneticPr fontId="1" type="noConversion"/>
  </si>
  <si>
    <t>秦雨</t>
    <phoneticPr fontId="1" type="noConversion"/>
  </si>
  <si>
    <t>张腾</t>
    <phoneticPr fontId="1" type="noConversion"/>
  </si>
  <si>
    <t>序号</t>
    <phoneticPr fontId="1" type="noConversion"/>
  </si>
  <si>
    <t>客户名称</t>
    <phoneticPr fontId="1" type="noConversion"/>
  </si>
  <si>
    <t>售前/实施</t>
    <phoneticPr fontId="1" type="noConversion"/>
  </si>
  <si>
    <t>风险</t>
    <phoneticPr fontId="1" type="noConversion"/>
  </si>
  <si>
    <t>重要时间</t>
    <phoneticPr fontId="1" type="noConversion"/>
  </si>
  <si>
    <t>李军</t>
    <phoneticPr fontId="1" type="noConversion"/>
  </si>
  <si>
    <t>韩智凯</t>
    <phoneticPr fontId="1" type="noConversion"/>
  </si>
  <si>
    <t>李达</t>
    <phoneticPr fontId="1" type="noConversion"/>
  </si>
  <si>
    <t>张腾</t>
    <phoneticPr fontId="1" type="noConversion"/>
  </si>
  <si>
    <t>韩智凯</t>
    <phoneticPr fontId="1" type="noConversion"/>
  </si>
  <si>
    <t>刘红日</t>
    <phoneticPr fontId="1" type="noConversion"/>
  </si>
  <si>
    <t>杨竞</t>
    <phoneticPr fontId="1" type="noConversion"/>
  </si>
  <si>
    <t>5月10日上线</t>
    <phoneticPr fontId="1" type="noConversion"/>
  </si>
  <si>
    <t>5月15日上线</t>
    <phoneticPr fontId="1" type="noConversion"/>
  </si>
  <si>
    <t>5月15日上线</t>
    <phoneticPr fontId="1" type="noConversion"/>
  </si>
  <si>
    <t>5月末上线</t>
    <phoneticPr fontId="1" type="noConversion"/>
  </si>
  <si>
    <t>5月12日上会</t>
    <phoneticPr fontId="1" type="noConversion"/>
  </si>
  <si>
    <t>5月末上线</t>
    <phoneticPr fontId="1" type="noConversion"/>
  </si>
  <si>
    <t>5月18日上线</t>
    <phoneticPr fontId="1" type="noConversion"/>
  </si>
  <si>
    <t>实施人员精力全都投放在平顶山银行，无法兼顾，新人李军恐无法同时兼顾长行和长银五八</t>
    <phoneticPr fontId="1" type="noConversion"/>
  </si>
  <si>
    <t>暂无风险</t>
    <phoneticPr fontId="1" type="noConversion"/>
  </si>
  <si>
    <t>因新人实施经验不足，存在上线失败的风险</t>
    <phoneticPr fontId="1" type="noConversion"/>
  </si>
  <si>
    <t>解决办法</t>
    <phoneticPr fontId="1" type="noConversion"/>
  </si>
  <si>
    <t>暂无风险</t>
    <phoneticPr fontId="1" type="noConversion"/>
  </si>
  <si>
    <t>压力测试后发现文件存储路径乱码，行方限5月9日晚前解决，目前暂时没有找到问题</t>
    <phoneticPr fontId="1" type="noConversion"/>
  </si>
  <si>
    <t>存在需要开发的接口和界面需求，开发还未提供</t>
    <phoneticPr fontId="1" type="noConversion"/>
  </si>
  <si>
    <t>新开发的无纸化前置与信贷系统联调失败，客户要求5月8日晚8时以前解决问题</t>
    <phoneticPr fontId="1" type="noConversion"/>
  </si>
  <si>
    <t>建议协调贺磊、刘子龙、程玉斌等有经验的实施人员参与、保线</t>
    <phoneticPr fontId="1" type="noConversion"/>
  </si>
  <si>
    <t>已经协调苏才礼赴现场查找问题</t>
    <phoneticPr fontId="1" type="noConversion"/>
  </si>
  <si>
    <t>督促田松尽快完成开发</t>
    <phoneticPr fontId="1" type="noConversion"/>
  </si>
  <si>
    <t>紧急项目一览表（4月11日）</t>
    <phoneticPr fontId="1" type="noConversion"/>
  </si>
  <si>
    <t>Z - 镇江公积金</t>
    <phoneticPr fontId="1" type="noConversion"/>
  </si>
  <si>
    <t>镇江公积金无纸化建设项目</t>
    <phoneticPr fontId="1" type="noConversion"/>
  </si>
  <si>
    <t>05-公积金行业</t>
  </si>
  <si>
    <t>2017-5</t>
    <phoneticPr fontId="1" type="noConversion"/>
  </si>
  <si>
    <t>徐艳红</t>
    <phoneticPr fontId="1" type="noConversion"/>
  </si>
  <si>
    <t>6月2日：与开发商常州富通公司联合制作了Demo，并与镇江公积金完成了演示和交流工作</t>
    <phoneticPr fontId="1" type="noConversion"/>
  </si>
  <si>
    <t>2016-6</t>
    <phoneticPr fontId="1" type="noConversion"/>
  </si>
  <si>
    <t>4月24日：等待客户反馈
6月2日：商务已决定无纸化--》安心签</t>
    <phoneticPr fontId="1" type="noConversion"/>
  </si>
  <si>
    <t>05-终止</t>
  </si>
  <si>
    <t>07-实施-环境搭建</t>
  </si>
  <si>
    <t>4月24日：客户正在走商务合同流程，近期启动实施
6月2日：合同已走完，客户要求下周赴现场搭建测试环境和接口集成</t>
    <phoneticPr fontId="1" type="noConversion"/>
  </si>
  <si>
    <t>4月24日：客户方业务系统仍在开发，远程支持集成工作
6月2日：已完成客户生产环境无纸化系统搭建，客户自己逐个商户上线对接</t>
    <phoneticPr fontId="1" type="noConversion"/>
  </si>
  <si>
    <t>B - 宝乾小贷</t>
    <phoneticPr fontId="1" type="noConversion"/>
  </si>
  <si>
    <t>冯帧</t>
    <phoneticPr fontId="1" type="noConversion"/>
  </si>
  <si>
    <t>宝乾小贷无纸化云证通建设项目</t>
    <phoneticPr fontId="1" type="noConversion"/>
  </si>
  <si>
    <t>B - 百瑞信托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</si>
  <si>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</si>
  <si>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华泰证券无纸化建设项目</t>
    <phoneticPr fontId="1" type="noConversion"/>
  </si>
  <si>
    <t>01-无纸化手写电子签名系统_x000D_
03-无纸化手写签名中间件（iOS）_x000D_
04-无纸化手写签名中间件（Android）_x000D_
09-场景证书</t>
    <phoneticPr fontId="1" type="noConversion"/>
  </si>
  <si>
    <t>H - 哈银消费金融</t>
    <phoneticPr fontId="1" type="noConversion"/>
  </si>
  <si>
    <t>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</si>
  <si>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6月2日：客户需求要求自建CA，经公司曾决策，中止投标，并向客户方就自建CA不合规性预警</t>
    <phoneticPr fontId="1" type="noConversion"/>
  </si>
  <si>
    <t>H - 海闻科技</t>
    <phoneticPr fontId="1" type="noConversion"/>
  </si>
  <si>
    <t>海闻科技电子发票项目</t>
    <phoneticPr fontId="1" type="noConversion"/>
  </si>
  <si>
    <t>18-合作伙伴</t>
  </si>
  <si>
    <t>杜姜霖</t>
    <phoneticPr fontId="1" type="noConversion"/>
  </si>
  <si>
    <t>D - 中国东盟海产品交易所</t>
    <phoneticPr fontId="1" type="noConversion"/>
  </si>
  <si>
    <t>大宗交易平台无纸化项目</t>
    <phoneticPr fontId="1" type="noConversion"/>
  </si>
  <si>
    <t>06-互联网其他行业</t>
  </si>
  <si>
    <t>01-无纸化手写电子签名系统_x000D_
07-远程时间戳服务_x000D_
09-场景证书_x000D_
10-个人证书_x000D_
12-企业证书_x000D_
13-蓝牙Key</t>
    <phoneticPr fontId="1" type="noConversion"/>
  </si>
  <si>
    <t>5月31日：提交客户解决方案</t>
    <phoneticPr fontId="1" type="noConversion"/>
  </si>
  <si>
    <t>Y - 营口银行</t>
    <phoneticPr fontId="1" type="noConversion"/>
  </si>
  <si>
    <t>营口银行无纸化+云证通项目</t>
    <phoneticPr fontId="1" type="noConversion"/>
  </si>
  <si>
    <t>01-无纸化手写电子签名系统_x000D_
03-无纸化手写签名中间件（iOS）_x000D_
04-无纸化手写签名中间件（Android）_x000D_
07-远程时间戳服务_x000D_
15-云证通</t>
    <phoneticPr fontId="1" type="noConversion"/>
  </si>
  <si>
    <t>H - 海尔消费金融</t>
    <phoneticPr fontId="1" type="noConversion"/>
  </si>
  <si>
    <t>海尔消费金融无纸化项目</t>
    <phoneticPr fontId="1" type="noConversion"/>
  </si>
  <si>
    <t>01-无纸化手写电子签名系统_x000D_
03-无纸化手写签名中间件（iOS）_x000D_
04-无纸化手写签名中间件（Android）_x000D_
07-远程时间戳服务_x000D_
09-场景证书</t>
    <phoneticPr fontId="1" type="noConversion"/>
  </si>
  <si>
    <t>王爱敏</t>
    <phoneticPr fontId="1" type="noConversion"/>
  </si>
  <si>
    <t>翟文进</t>
    <phoneticPr fontId="1" type="noConversion"/>
  </si>
  <si>
    <t>4月28日：营口银行现场交流
5月24日：商务反馈客户已经确定一期采购云证通，正在走商务合同；二期采购无纸化</t>
    <phoneticPr fontId="1" type="noConversion"/>
  </si>
  <si>
    <t>Z - 郑州银行</t>
    <phoneticPr fontId="1" type="noConversion"/>
  </si>
  <si>
    <t>J - 焦作中旅银行</t>
    <phoneticPr fontId="1" type="noConversion"/>
  </si>
  <si>
    <t>Week</t>
    <phoneticPr fontId="1" type="noConversion"/>
  </si>
  <si>
    <t>01-银行业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</si>
  <si>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  <phoneticPr fontId="1" type="noConversion"/>
  </si>
  <si>
    <t>2017-6</t>
    <phoneticPr fontId="1" type="noConversion"/>
  </si>
  <si>
    <t>韩智凯</t>
    <phoneticPr fontId="1" type="noConversion"/>
  </si>
  <si>
    <t>6月2日：编制询价函技术方案，基本确定单一来源
6月26日：测试环境搭建完毕，接口调通</t>
    <phoneticPr fontId="1" type="noConversion"/>
  </si>
  <si>
    <t>4月24日：定制开发
5月7日：压力测试下文件存储路径乱码
6月26日：6月23日网贷系统上线完毕，后续计划不明，需要与行方了解</t>
    <phoneticPr fontId="1" type="noConversion"/>
  </si>
  <si>
    <t>5月7日：5月10日上线
6月26日：上线准备工作已经完毕，等待28日上线，服务器证书客户将于与秦雨联系。</t>
    <phoneticPr fontId="1" type="noConversion"/>
  </si>
  <si>
    <t>4月24日：已上线完成
6月26日：新业务单据规划，采用html模板制作。</t>
    <phoneticPr fontId="1" type="noConversion"/>
  </si>
  <si>
    <t>4月24日：目前已完成直销银行无纸化上线，后续还会有其它渠道集成
5月7日：合同模板待制作，接口和界面需求待完成
6月26日：直销银行汽车贷以及政采贷已经上线</t>
    <phoneticPr fontId="1" type="noConversion"/>
  </si>
  <si>
    <t>4月24日：一期京东白条电子印章完成；二期PC浏览器、手机APP信托合同电子签署正在集成开发
6月26日：在线面签系统，生产环境准备完毕，等待上线，上线时间待定</t>
    <phoneticPr fontId="1" type="noConversion"/>
  </si>
  <si>
    <t>4月24日：已上线完成</t>
    <phoneticPr fontId="1" type="noConversion"/>
  </si>
  <si>
    <t>4月24日：蓝牙Key以及上线，在生产环境下完成了测试和培训工作，但没有生产标业务发生；即将开展中石油预植前置系统和无纸化系统的云平台迁移工作
6月26日：大庆油田Sealmaker提需求，制作天地融Key专用版，解决二次制章的问题。</t>
    <phoneticPr fontId="1" type="noConversion"/>
  </si>
  <si>
    <t>李军</t>
    <phoneticPr fontId="1" type="noConversion"/>
  </si>
  <si>
    <t>开始时间</t>
    <phoneticPr fontId="1" type="noConversion"/>
  </si>
  <si>
    <t>17-RA</t>
    <phoneticPr fontId="1" type="noConversion"/>
  </si>
  <si>
    <t>J - 晋城银行</t>
    <phoneticPr fontId="1" type="noConversion"/>
  </si>
  <si>
    <t>晋城银行手机银行电子签章建设项目</t>
    <phoneticPr fontId="1" type="noConversion"/>
  </si>
  <si>
    <t>李颖</t>
    <phoneticPr fontId="1" type="noConversion"/>
  </si>
  <si>
    <t>S - 三星保险</t>
    <phoneticPr fontId="1" type="noConversion"/>
  </si>
  <si>
    <t>三星保险无纸化建设项目</t>
    <phoneticPr fontId="1" type="noConversion"/>
  </si>
  <si>
    <t>B - 包商银行</t>
    <phoneticPr fontId="1" type="noConversion"/>
  </si>
  <si>
    <t>01-无纸化手写电子签名系统_x000D_
09-场景证书_x000D_
12-企业证书_x000D_
16-签名验签服务器</t>
    <phoneticPr fontId="1" type="noConversion"/>
  </si>
  <si>
    <t>2017-7</t>
    <phoneticPr fontId="1" type="noConversion"/>
  </si>
  <si>
    <t>W - 五矿信托</t>
    <phoneticPr fontId="1" type="noConversion"/>
  </si>
  <si>
    <t>五矿信托无纸化建设项目</t>
    <phoneticPr fontId="1" type="noConversion"/>
  </si>
  <si>
    <t>T - 天津银行</t>
    <phoneticPr fontId="1" type="noConversion"/>
  </si>
  <si>
    <t>安雨萌</t>
    <phoneticPr fontId="1" type="noConversion"/>
  </si>
  <si>
    <t>Z - 招商银行</t>
    <phoneticPr fontId="1" type="noConversion"/>
  </si>
  <si>
    <t>招商银行信用卡中心无纸化建设项目</t>
    <phoneticPr fontId="1" type="noConversion"/>
  </si>
  <si>
    <t>2017-5</t>
    <phoneticPr fontId="1" type="noConversion"/>
  </si>
  <si>
    <t>王婷</t>
  </si>
  <si>
    <t>王婷</t>
    <phoneticPr fontId="1" type="noConversion"/>
  </si>
  <si>
    <t>李达/刘通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</si>
  <si>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</si>
  <si>
    <t>招商银行小企业E家无纸化建设项目</t>
    <phoneticPr fontId="1" type="noConversion"/>
  </si>
  <si>
    <t>2017-3</t>
    <phoneticPr fontId="1" type="noConversion"/>
  </si>
  <si>
    <t>刘通</t>
    <phoneticPr fontId="1" type="noConversion"/>
  </si>
  <si>
    <t>01-无纸化手写电子签名系统_x000D_
03-无纸化手写签名中间件（iOS）_x000D_
04-无纸化手写签名中间件（Android）_x000D_
07-远程时间戳服务_x000D_
09-场景证书_x000D_
12-企业证书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</si>
  <si>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10-个人证书_x000D_
12-企业证书_x000D_
26-trusSignPdfPlugin（Windows）</t>
    <phoneticPr fontId="1" type="noConversion"/>
  </si>
  <si>
    <t>郑州银行网贷（小企业部沙县小吃）无纸化建设项目</t>
    <phoneticPr fontId="1" type="noConversion"/>
  </si>
  <si>
    <t>已上线</t>
    <phoneticPr fontId="1" type="noConversion"/>
  </si>
  <si>
    <t>当前采用普通证书方案，争取场景证书需要先确认性能是否达标，能否支持并发量</t>
    <phoneticPr fontId="1" type="noConversion"/>
  </si>
  <si>
    <t>杨竞</t>
    <phoneticPr fontId="1" type="noConversion"/>
  </si>
  <si>
    <t>韩智凯/杨竞</t>
    <phoneticPr fontId="1" type="noConversion"/>
  </si>
  <si>
    <t>郑州银行电子保理、资金监管（交易二部）（贸融金融、供应链金融）无纸化建设项目</t>
    <phoneticPr fontId="1" type="noConversion"/>
  </si>
  <si>
    <t>郑州银行电子保理及电子预付款融资业务（交易一部）无纸化建设项目</t>
    <phoneticPr fontId="1" type="noConversion"/>
  </si>
  <si>
    <t>郑州银行智能营销业务APP（网络金融部移动展业系统）无纸化建设项目</t>
    <phoneticPr fontId="1" type="noConversion"/>
  </si>
  <si>
    <t>2017-7</t>
    <phoneticPr fontId="1" type="noConversion"/>
  </si>
  <si>
    <t>按沙县小吃方案进行</t>
    <phoneticPr fontId="1" type="noConversion"/>
  </si>
  <si>
    <t>计划8月底上线</t>
    <phoneticPr fontId="1" type="noConversion"/>
  </si>
  <si>
    <t>客户整体需求设计中</t>
    <phoneticPr fontId="1" type="noConversion"/>
  </si>
  <si>
    <t>2017-03</t>
    <phoneticPr fontId="1" type="noConversion"/>
  </si>
  <si>
    <t>2017-06</t>
    <phoneticPr fontId="1" type="noConversion"/>
  </si>
  <si>
    <t>2016-10</t>
    <phoneticPr fontId="1" type="noConversion"/>
  </si>
  <si>
    <t>X - 现代汽车消费金融</t>
    <phoneticPr fontId="1" type="noConversion"/>
  </si>
  <si>
    <t>现代汽车消费金融无纸化建设方案</t>
    <phoneticPr fontId="1" type="noConversion"/>
  </si>
  <si>
    <t>2017-8</t>
    <phoneticPr fontId="1" type="noConversion"/>
  </si>
  <si>
    <t>包商银行丰收贷业务无纸化建设项目</t>
    <phoneticPr fontId="1" type="noConversion"/>
  </si>
  <si>
    <t>包商银行平台金融无纸化建设项目</t>
    <phoneticPr fontId="1" type="noConversion"/>
  </si>
  <si>
    <t>包商银行助贷平台无纸化建设项目</t>
    <phoneticPr fontId="1" type="noConversion"/>
  </si>
  <si>
    <t>焦清旺、张腾</t>
    <phoneticPr fontId="1" type="noConversion"/>
  </si>
  <si>
    <t>樊耀华、韩智凯</t>
    <phoneticPr fontId="1" type="noConversion"/>
  </si>
  <si>
    <t>10月25日：项目再次延期，等待行方走立项流程</t>
    <phoneticPr fontId="1" type="noConversion"/>
  </si>
  <si>
    <t>10月25日：实施方案待定</t>
    <phoneticPr fontId="1" type="noConversion"/>
  </si>
  <si>
    <t>10月25日：待启动</t>
    <phoneticPr fontId="1" type="noConversion"/>
  </si>
  <si>
    <t>焦清旺、李军</t>
    <phoneticPr fontId="1" type="noConversion"/>
  </si>
  <si>
    <t>03-暂停</t>
  </si>
  <si>
    <t>4月24日：客户APP业务暂停，后续转向微信端业务模式
5月7日：5月10日上线
6月5日：项目暂停，甲方内部选择厂商分歧</t>
    <phoneticPr fontId="1" type="noConversion"/>
  </si>
  <si>
    <t>电子报聘无纸化项目</t>
    <phoneticPr fontId="1" type="noConversion"/>
  </si>
  <si>
    <t>电子保单项目</t>
    <phoneticPr fontId="1" type="noConversion"/>
  </si>
  <si>
    <t>4月24日：部分上线，场景证书还未使用
10月25日：系统上线完毕，运行无问题</t>
    <phoneticPr fontId="1" type="noConversion"/>
  </si>
  <si>
    <t>10月25日：电子保单开发商集成中，无具体上线日期要求</t>
    <phoneticPr fontId="1" type="noConversion"/>
  </si>
  <si>
    <t>4月24日：上线工单已提，等待客户上线通知
10月25日：甲方产品经理经过N次变更，刚刚启动集成工作</t>
    <phoneticPr fontId="1" type="noConversion"/>
  </si>
  <si>
    <t>李达、吴利东</t>
    <phoneticPr fontId="1" type="noConversion"/>
  </si>
  <si>
    <t>华融湘江银行直销银行融安贷无纸化项目</t>
    <phoneticPr fontId="1" type="noConversion"/>
  </si>
  <si>
    <r>
      <t xml:space="preserve">4月24日：部分上线，直销银行APP中一个业务已上线，另外一个业务还未调通
</t>
    </r>
    <r>
      <rPr>
        <sz val="11"/>
        <rFont val="宋体"/>
        <family val="3"/>
        <charset val="134"/>
        <scheme val="minor"/>
      </rPr>
      <t>10月25日：系统上线完毕</t>
    </r>
    <phoneticPr fontId="1" type="noConversion"/>
  </si>
  <si>
    <r>
      <t xml:space="preserve">6月2日：已完成多次交流，主打云证通+无纸化，等待客户方评估，有北京CA参与
</t>
    </r>
    <r>
      <rPr>
        <sz val="11"/>
        <rFont val="宋体"/>
        <family val="3"/>
        <charset val="134"/>
        <scheme val="minor"/>
      </rPr>
      <t>10月25日：等待投标中，POC测试第一名</t>
    </r>
    <phoneticPr fontId="1" type="noConversion"/>
  </si>
  <si>
    <t>焦作中旅银行易秒贷无纸化建设项目</t>
    <phoneticPr fontId="1" type="noConversion"/>
  </si>
  <si>
    <r>
      <t xml:space="preserve">4月24日：已编写详细实施方案
5月7日：下周完成5个模板的制作与集成；
</t>
    </r>
    <r>
      <rPr>
        <sz val="11"/>
        <rFont val="宋体"/>
        <family val="3"/>
        <charset val="134"/>
        <scheme val="minor"/>
      </rPr>
      <t>8月13：系统完成上线</t>
    </r>
    <phoneticPr fontId="1" type="noConversion"/>
  </si>
  <si>
    <t>焦清旺、李达</t>
    <phoneticPr fontId="1" type="noConversion"/>
  </si>
  <si>
    <r>
      <t xml:space="preserve">4月24日：信贷业务总则、优质员工贷实施细则已编写完成；
5月7日：下周上会，最终确定管理办法和制度
6月26日：计划7月14日上线，需要部署生产环境，走工单流程
</t>
    </r>
    <r>
      <rPr>
        <sz val="11"/>
        <rFont val="宋体"/>
        <family val="3"/>
        <charset val="134"/>
        <scheme val="minor"/>
      </rPr>
      <t>8月23：完成最后一版规范编制，并发布</t>
    </r>
    <phoneticPr fontId="1" type="noConversion"/>
  </si>
  <si>
    <r>
      <t xml:space="preserve">5月2日：宝乾北京分公司交流，焦清旺、何佳佳、冯帧
5月12日：长沙交流，焦清旺、赵胜利、冯帧
</t>
    </r>
    <r>
      <rPr>
        <sz val="11"/>
        <rFont val="宋体"/>
        <family val="3"/>
        <charset val="134"/>
        <scheme val="minor"/>
      </rPr>
      <t>10月25日：最终甲方选用安心签</t>
    </r>
    <phoneticPr fontId="1" type="noConversion"/>
  </si>
  <si>
    <t>兰州银行智能pos（手机收款APP）无纸化建设项目</t>
    <phoneticPr fontId="1" type="noConversion"/>
  </si>
  <si>
    <t>平顶山银行移动营销自助开卡业务无纸化</t>
    <phoneticPr fontId="1" type="noConversion"/>
  </si>
  <si>
    <t>平顶山银行网贷业务建设项目</t>
    <phoneticPr fontId="1" type="noConversion"/>
  </si>
  <si>
    <t>信贷业务无纸化建设项目</t>
    <phoneticPr fontId="1" type="noConversion"/>
  </si>
  <si>
    <t>助贷渠道无纸化建设项目</t>
    <phoneticPr fontId="1" type="noConversion"/>
  </si>
  <si>
    <t>10月25日：预计11月中下旬上线</t>
    <phoneticPr fontId="1" type="noConversion"/>
  </si>
  <si>
    <t>9月22日：已经上线</t>
    <phoneticPr fontId="1" type="noConversion"/>
  </si>
  <si>
    <t>李汉明</t>
    <phoneticPr fontId="1" type="noConversion"/>
  </si>
  <si>
    <t>10月25日：产品资料已经同步到中科软，一体机规划中</t>
    <phoneticPr fontId="1" type="noConversion"/>
  </si>
  <si>
    <t>天津银行手机学生贷无纸化建设项目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</si>
  <si>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0月25日：8月下旬上线</t>
    </r>
    <phoneticPr fontId="1" type="noConversion"/>
  </si>
  <si>
    <t>金城银行直销银行无纸化建设项目</t>
    <phoneticPr fontId="1" type="noConversion"/>
  </si>
  <si>
    <t>金城银行汽车贷无纸化建设项目</t>
    <phoneticPr fontId="1" type="noConversion"/>
  </si>
  <si>
    <t>金城银行政采贷无纸化建设项目</t>
    <phoneticPr fontId="1" type="noConversion"/>
  </si>
  <si>
    <t>10月25日：5月份已经上线</t>
    <phoneticPr fontId="1" type="noConversion"/>
  </si>
  <si>
    <r>
      <t>201</t>
    </r>
    <r>
      <rPr>
        <sz val="11"/>
        <rFont val="宋体"/>
        <family val="3"/>
        <charset val="134"/>
        <scheme val="minor"/>
      </rPr>
      <t>7</t>
    </r>
    <r>
      <rPr>
        <sz val="11"/>
        <rFont val="宋体"/>
        <family val="3"/>
        <charset val="134"/>
        <scheme val="minor"/>
      </rPr>
      <t>-</t>
    </r>
    <r>
      <rPr>
        <sz val="11"/>
        <rFont val="宋体"/>
        <family val="3"/>
        <charset val="134"/>
        <scheme val="minor"/>
      </rPr>
      <t>2</t>
    </r>
    <phoneticPr fontId="1" type="noConversion"/>
  </si>
  <si>
    <r>
      <t>201</t>
    </r>
    <r>
      <rPr>
        <sz val="11"/>
        <rFont val="宋体"/>
        <family val="3"/>
        <charset val="134"/>
        <scheme val="minor"/>
      </rPr>
      <t>7</t>
    </r>
    <r>
      <rPr>
        <sz val="11"/>
        <rFont val="宋体"/>
        <family val="3"/>
        <charset val="134"/>
        <scheme val="minor"/>
      </rPr>
      <t>-</t>
    </r>
    <r>
      <rPr>
        <sz val="11"/>
        <rFont val="宋体"/>
        <family val="3"/>
        <charset val="134"/>
        <scheme val="minor"/>
      </rPr>
      <t>3</t>
    </r>
    <r>
      <rPr>
        <sz val="11"/>
        <color theme="1"/>
        <rFont val="宋体"/>
        <family val="2"/>
        <scheme val="minor"/>
      </rPr>
      <t/>
    </r>
  </si>
  <si>
    <t>14-实施-验收</t>
  </si>
  <si>
    <t>刘红日、张腾</t>
    <phoneticPr fontId="1" type="noConversion"/>
  </si>
  <si>
    <t>吴利东、杨竞</t>
    <phoneticPr fontId="1" type="noConversion"/>
  </si>
  <si>
    <t>李军、焦清旺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</si>
  <si>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0月25日：实施中</t>
    </r>
    <phoneticPr fontId="1" type="noConversion"/>
  </si>
  <si>
    <t>中融信托京东白条无纸化建设</t>
    <phoneticPr fontId="1" type="noConversion"/>
  </si>
  <si>
    <t>中融信托在线视频面签无纸化建设二期项目</t>
    <phoneticPr fontId="1" type="noConversion"/>
  </si>
  <si>
    <r>
      <t xml:space="preserve">4月24日：一期京东白条电子印章完成；二期PC浏览器、手机APP信托合同电子签署正在集成开发
6月26日：在线面签系统，生产环境准备完毕，等待上线，上线时间待定
</t>
    </r>
    <r>
      <rPr>
        <sz val="11"/>
        <rFont val="宋体"/>
        <family val="3"/>
        <charset val="134"/>
        <scheme val="minor"/>
      </rPr>
      <t>10月25：集成开发中</t>
    </r>
    <phoneticPr fontId="1" type="noConversion"/>
  </si>
  <si>
    <t>Z - 郑州银行消费金融</t>
    <phoneticPr fontId="1" type="noConversion"/>
  </si>
  <si>
    <r>
      <t>2017-</t>
    </r>
    <r>
      <rPr>
        <sz val="11"/>
        <rFont val="宋体"/>
        <family val="3"/>
        <charset val="134"/>
        <scheme val="minor"/>
      </rPr>
      <t>10</t>
    </r>
    <phoneticPr fontId="1" type="noConversion"/>
  </si>
  <si>
    <t>韩智凯、李军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</si>
  <si>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0月25日：完成了实施方案确定、环境搭建完毕、开始集成测试工作</t>
    </r>
    <phoneticPr fontId="1" type="noConversion"/>
  </si>
  <si>
    <t>泛华保险平台无纸化</t>
    <phoneticPr fontId="1" type="noConversion"/>
  </si>
  <si>
    <r>
      <t>2017-</t>
    </r>
    <r>
      <rPr>
        <sz val="11"/>
        <rFont val="宋体"/>
        <family val="3"/>
        <charset val="134"/>
        <scheme val="minor"/>
      </rPr>
      <t>9</t>
    </r>
    <phoneticPr fontId="1" type="noConversion"/>
  </si>
  <si>
    <t>程玉斌</t>
    <phoneticPr fontId="1" type="noConversion"/>
  </si>
  <si>
    <t>小李达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</si>
  <si>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0月25日：开发实施中</t>
    </r>
    <phoneticPr fontId="1" type="noConversion"/>
  </si>
  <si>
    <t>F - 泛华保险</t>
    <phoneticPr fontId="1" type="noConversion"/>
  </si>
  <si>
    <t>D - 搭伙科技</t>
    <phoneticPr fontId="1" type="noConversion"/>
  </si>
  <si>
    <t>B - 贝壳金控</t>
    <phoneticPr fontId="1" type="noConversion"/>
  </si>
  <si>
    <t>H - 花旗银行</t>
    <phoneticPr fontId="1" type="noConversion"/>
  </si>
  <si>
    <t>Q - 钱包金服</t>
    <phoneticPr fontId="1" type="noConversion"/>
  </si>
  <si>
    <t>T - 泰山保险</t>
    <phoneticPr fontId="1" type="noConversion"/>
  </si>
  <si>
    <t>Y - 阳光保险</t>
    <phoneticPr fontId="1" type="noConversion"/>
  </si>
  <si>
    <t>D - 东风标致</t>
    <phoneticPr fontId="1" type="noConversion"/>
  </si>
  <si>
    <t>D - 大众汽车金融</t>
    <phoneticPr fontId="1" type="noConversion"/>
  </si>
  <si>
    <t>Z - 中国石油国际事业中心</t>
    <phoneticPr fontId="1" type="noConversion"/>
  </si>
  <si>
    <t>T - 天津农商行</t>
    <phoneticPr fontId="1" type="noConversion"/>
  </si>
  <si>
    <t>S - 盛京银行</t>
    <phoneticPr fontId="1" type="noConversion"/>
  </si>
  <si>
    <r>
      <t>M</t>
    </r>
    <r>
      <rPr>
        <b/>
        <sz val="11"/>
        <color rgb="FFFF0000"/>
        <rFont val="宋体"/>
        <family val="3"/>
        <charset val="134"/>
        <scheme val="minor"/>
      </rPr>
      <t xml:space="preserve"> - 民生银行</t>
    </r>
    <phoneticPr fontId="1" type="noConversion"/>
  </si>
  <si>
    <t>D - 滴滴打车</t>
    <phoneticPr fontId="1" type="noConversion"/>
  </si>
  <si>
    <t>B - 北京捷越</t>
    <phoneticPr fontId="1" type="noConversion"/>
  </si>
  <si>
    <t>H - 湖州贝格科技</t>
    <phoneticPr fontId="1" type="noConversion"/>
  </si>
  <si>
    <t>G - 国管公积金</t>
    <phoneticPr fontId="1" type="noConversion"/>
  </si>
  <si>
    <t>Y - 宜信</t>
    <phoneticPr fontId="1" type="noConversion"/>
  </si>
  <si>
    <t>Y - 亿云网络</t>
    <phoneticPr fontId="1" type="noConversion"/>
  </si>
  <si>
    <t>Y - 易招标</t>
    <phoneticPr fontId="1" type="noConversion"/>
  </si>
  <si>
    <t>H - 海尔财务公司</t>
    <phoneticPr fontId="1" type="noConversion"/>
  </si>
  <si>
    <t>Y - 亿联银行</t>
    <phoneticPr fontId="1" type="noConversion"/>
  </si>
  <si>
    <t>4月24日：本周开始实施
10月25日：8月26日已经上线</t>
    <phoneticPr fontId="1" type="noConversion"/>
  </si>
  <si>
    <t>H - 华通银行</t>
    <phoneticPr fontId="1" type="noConversion"/>
  </si>
  <si>
    <t>A - 安正通</t>
    <phoneticPr fontId="1" type="noConversion"/>
  </si>
  <si>
    <t>D - 德邦证券</t>
    <phoneticPr fontId="1" type="noConversion"/>
  </si>
  <si>
    <t>C - 财富证券</t>
    <phoneticPr fontId="1" type="noConversion"/>
  </si>
  <si>
    <t>H - 海通证券</t>
    <phoneticPr fontId="1" type="noConversion"/>
  </si>
  <si>
    <t>K - 可口可乐集团</t>
    <phoneticPr fontId="1" type="noConversion"/>
  </si>
  <si>
    <t>X - 湘西自治州住房公积金管理中心</t>
    <phoneticPr fontId="1" type="noConversion"/>
  </si>
  <si>
    <t>10月25日：替开发商准备CA认证相关产品资料，由开发商投标</t>
    <phoneticPr fontId="1" type="noConversion"/>
  </si>
  <si>
    <t>Z - 中国银行</t>
    <phoneticPr fontId="1" type="noConversion"/>
  </si>
  <si>
    <t>23-电子签章控件（Java）</t>
    <phoneticPr fontId="1" type="noConversion"/>
  </si>
  <si>
    <t>24-trusSignPdf（Windows）</t>
    <phoneticPr fontId="1" type="noConversion"/>
  </si>
  <si>
    <t>25-trusSignPdf（iOS）</t>
    <phoneticPr fontId="1" type="noConversion"/>
  </si>
  <si>
    <t>26-trusSignPdf（Android）</t>
    <phoneticPr fontId="1" type="noConversion"/>
  </si>
  <si>
    <t>27-trusSignPdfPlugin（Windows）</t>
    <phoneticPr fontId="1" type="noConversion"/>
  </si>
  <si>
    <t>28-trusSignPdfPlugin（iOS）</t>
    <phoneticPr fontId="1" type="noConversion"/>
  </si>
  <si>
    <t>29-trusSignPdfPlugin（Android）</t>
    <phoneticPr fontId="1" type="noConversion"/>
  </si>
  <si>
    <t>30-手写签名屏</t>
    <phoneticPr fontId="1" type="noConversion"/>
  </si>
  <si>
    <t>31-高拍仪</t>
    <phoneticPr fontId="1" type="noConversion"/>
  </si>
  <si>
    <t>32-指纹采集仪</t>
    <phoneticPr fontId="1" type="noConversion"/>
  </si>
  <si>
    <t>33-智能平板电脑</t>
    <phoneticPr fontId="1" type="noConversion"/>
  </si>
  <si>
    <t>34-金融背夹</t>
    <phoneticPr fontId="1" type="noConversion"/>
  </si>
  <si>
    <t>35-智能机器人</t>
    <phoneticPr fontId="1" type="noConversion"/>
  </si>
  <si>
    <t>36-印章保险柜</t>
    <phoneticPr fontId="1" type="noConversion"/>
  </si>
  <si>
    <t>37-第三方证据保全服务</t>
    <phoneticPr fontId="1" type="noConversion"/>
  </si>
  <si>
    <t>李岩</t>
    <phoneticPr fontId="1" type="noConversion"/>
  </si>
  <si>
    <t>王博</t>
    <phoneticPr fontId="1" type="noConversion"/>
  </si>
  <si>
    <t>李达、王博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</si>
  <si>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</t>
    </r>
    <r>
      <rPr>
        <sz val="11"/>
        <rFont val="宋体"/>
        <family val="3"/>
        <charset val="134"/>
        <scheme val="minor"/>
      </rPr>
      <t>7月份将其设计并并入到中行DCMS系统内</t>
    </r>
    <phoneticPr fontId="1" type="noConversion"/>
  </si>
  <si>
    <t>北京捷越贷款业务无纸化建设项目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</si>
  <si>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017-8</t>
    </r>
    <phoneticPr fontId="1" type="noConversion"/>
  </si>
  <si>
    <t>范冉冉</t>
    <phoneticPr fontId="1" type="noConversion"/>
  </si>
  <si>
    <t>刘红日、李军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</si>
  <si>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1月9日：等待启动性能测试</t>
    </r>
    <phoneticPr fontId="1" type="noConversion"/>
  </si>
  <si>
    <t>贝壳金控线上贷款业务无纸化建设项目</t>
  </si>
  <si>
    <t>01-无纸化手写电子签名系统_x000D_
07-远程时间戳服务_x000D_
12-企业证书_x000D_
15-云证通</t>
  </si>
  <si>
    <t>贝壳金控内部办公无纸化建设项目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</si>
  <si>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</si>
  <si>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王昭阳</t>
    <phoneticPr fontId="1" type="noConversion"/>
  </si>
  <si>
    <t>李军、韩智凯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</si>
  <si>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1月9日：已经上线</t>
    </r>
    <phoneticPr fontId="1" type="noConversion"/>
  </si>
  <si>
    <t>11月9日：目前正在集成云证通，下一阶段接入无纸化+云证通</t>
    <phoneticPr fontId="1" type="noConversion"/>
  </si>
  <si>
    <t>01-无纸化手写电子签名系统_x000D_
02-无纸化手写签名中间件（Windows）_x000D_
10-个人证书_x000D_
12-企业证书_x000D_
14-统一身份认证平台</t>
    <phoneticPr fontId="1" type="noConversion"/>
  </si>
  <si>
    <t>财富证券无纸化项目</t>
    <phoneticPr fontId="1" type="noConversion"/>
  </si>
  <si>
    <t>德邦证券无纸化项目</t>
    <phoneticPr fontId="1" type="noConversion"/>
  </si>
  <si>
    <t>2017-5</t>
    <phoneticPr fontId="1" type="noConversion"/>
  </si>
  <si>
    <t>周丹丹</t>
    <phoneticPr fontId="1" type="noConversion"/>
  </si>
  <si>
    <t>韩智凯</t>
    <phoneticPr fontId="1" type="noConversion"/>
  </si>
  <si>
    <t>滴滴出行下属机构重庆市西岸小额贷款有限公司无纸化项目</t>
    <phoneticPr fontId="1" type="noConversion"/>
  </si>
  <si>
    <t>01-无纸化手写电子签名系统_x000D_
09-场景证书_x000D_
12-企业证书</t>
  </si>
  <si>
    <t>2017-9</t>
    <phoneticPr fontId="1" type="noConversion"/>
  </si>
  <si>
    <t>孙志峰</t>
    <phoneticPr fontId="1" type="noConversion"/>
  </si>
  <si>
    <t>焦清旺、李军</t>
    <phoneticPr fontId="1" type="noConversion"/>
  </si>
  <si>
    <t>李军</t>
    <phoneticPr fontId="1" type="noConversion"/>
  </si>
  <si>
    <t>东风标致无纸化项目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</si>
  <si>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017-5</t>
    </r>
    <phoneticPr fontId="1" type="noConversion"/>
  </si>
  <si>
    <t>李达</t>
    <phoneticPr fontId="1" type="noConversion"/>
  </si>
  <si>
    <t>焦清旺</t>
    <phoneticPr fontId="1" type="noConversion"/>
  </si>
  <si>
    <t>2-进行中</t>
  </si>
  <si>
    <r>
      <t>0</t>
    </r>
    <r>
      <rPr>
        <sz val="1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-进行中</t>
    </r>
    <phoneticPr fontId="1" type="noConversion"/>
  </si>
  <si>
    <t xml:space="preserve">6月2日：客户暂时想使用PDFSealSADK方式集成至其增值税管理系统，机构证书暂时线下申请，未来可能需要电子签章系统+RA系统；后续由李军跟进
6月26日：计划本周三去客户现场搭建RA系统，指导开发商开发。
</t>
    <phoneticPr fontId="1" type="noConversion"/>
  </si>
  <si>
    <t>吴利东</t>
    <phoneticPr fontId="1" type="noConversion"/>
  </si>
  <si>
    <t>湖州贝格科技无纸化项目</t>
    <phoneticPr fontId="1" type="noConversion"/>
  </si>
  <si>
    <t>民生银行无纸化项目</t>
    <phoneticPr fontId="1" type="noConversion"/>
  </si>
  <si>
    <t>01-无纸化手写电子签名系统</t>
  </si>
  <si>
    <r>
      <t>1</t>
    </r>
    <r>
      <rPr>
        <sz val="11"/>
        <rFont val="宋体"/>
        <family val="3"/>
        <charset val="134"/>
        <scheme val="minor"/>
      </rPr>
      <t>0月10日：售前阶段</t>
    </r>
    <phoneticPr fontId="1" type="noConversion"/>
  </si>
  <si>
    <t>钱包金服云证通+无纸化项目</t>
    <phoneticPr fontId="1" type="noConversion"/>
  </si>
  <si>
    <t>01-无纸化手写电子签名系统_x000D_
15-云证通</t>
  </si>
  <si>
    <t>02-售前-需求分析</t>
  </si>
  <si>
    <t>焦清旺/李军</t>
    <phoneticPr fontId="1" type="noConversion"/>
  </si>
  <si>
    <t>S - 山东农信</t>
    <phoneticPr fontId="1" type="noConversion"/>
  </si>
  <si>
    <t>山东农信无纸化项目</t>
    <phoneticPr fontId="1" type="noConversion"/>
  </si>
  <si>
    <t>10月10日：未中标</t>
    <phoneticPr fontId="1" type="noConversion"/>
  </si>
  <si>
    <t>S - 深圳润信小贷</t>
    <phoneticPr fontId="1" type="noConversion"/>
  </si>
  <si>
    <t>深圳润信小贷无纸化项目</t>
    <phoneticPr fontId="1" type="noConversion"/>
  </si>
  <si>
    <t xml:space="preserve">焦清旺 </t>
    <phoneticPr fontId="1" type="noConversion"/>
  </si>
  <si>
    <t>10月10日：进入实施阶段，已交接给广州分公司</t>
    <phoneticPr fontId="1" type="noConversion"/>
  </si>
  <si>
    <t>盛京银行无纸化项目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</si>
  <si>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</si>
  <si>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康蕾</t>
    <phoneticPr fontId="1" type="noConversion"/>
  </si>
  <si>
    <t>01-无纸化手写电子签名系统_x000D_
09-场景证书_x000D_
12-企业证书_x000D_
24-trusSignPdf（Windows）_x000D_
25-trusSignPdf（iOS）_x000D_
26-trusSignPdf（Android）</t>
    <phoneticPr fontId="1" type="noConversion"/>
  </si>
  <si>
    <t xml:space="preserve">
S - 山东网银联盟</t>
    <phoneticPr fontId="1" type="noConversion"/>
  </si>
  <si>
    <t>10月10日：实施中</t>
    <phoneticPr fontId="1" type="noConversion"/>
  </si>
  <si>
    <t>S - 三峡银行</t>
    <phoneticPr fontId="1" type="noConversion"/>
  </si>
  <si>
    <t>10月10日： 即将启动集成</t>
    <phoneticPr fontId="1" type="noConversion"/>
  </si>
  <si>
    <t>亿联银行无纸化项目</t>
    <phoneticPr fontId="1" type="noConversion"/>
  </si>
  <si>
    <t>01-无纸化手写电子签名系统_x000D_
03-无纸化手写签名中间件（iOS）_x000D_
04-无纸化手写签名中间件（Android）_x000D_
07-远程时间戳服务_x000D_
09-场景证书_x000D_
12-企业证书</t>
  </si>
  <si>
    <t>吉林亿联银行网贷业务APP</t>
  </si>
  <si>
    <t>杨竞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</si>
  <si>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017-4</t>
    </r>
    <phoneticPr fontId="1" type="noConversion"/>
  </si>
  <si>
    <t>中石油国际事业中心无纸化项目</t>
    <phoneticPr fontId="1" type="noConversion"/>
  </si>
  <si>
    <t>10月10日：客户询价中</t>
    <phoneticPr fontId="1" type="noConversion"/>
  </si>
  <si>
    <t>国管公积金无纸化项目</t>
    <phoneticPr fontId="1" type="noConversion"/>
  </si>
  <si>
    <t>2017-10</t>
    <phoneticPr fontId="1" type="noConversion"/>
  </si>
  <si>
    <t>徐燕红</t>
    <phoneticPr fontId="1" type="noConversion"/>
  </si>
  <si>
    <t>10月10日：交接给李月
11月9日：新系统项目沟通</t>
    <phoneticPr fontId="1" type="noConversion"/>
  </si>
  <si>
    <t>阳光保险无纸化项目</t>
    <phoneticPr fontId="1" type="noConversion"/>
  </si>
  <si>
    <t>无纸化手写签名系统</t>
    <phoneticPr fontId="1" type="noConversion"/>
  </si>
  <si>
    <t>刘巍毅</t>
    <phoneticPr fontId="1" type="noConversion"/>
  </si>
  <si>
    <t>韩智凯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</si>
  <si>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</si>
  <si>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李达</t>
    <phoneticPr fontId="1" type="noConversion"/>
  </si>
  <si>
    <t>海尔财务公司无纸化项目</t>
    <phoneticPr fontId="1" type="noConversion"/>
  </si>
  <si>
    <t>01-无纸化手写电子签名系统_x000D_
12-企业证书_x000D_
15-云证通</t>
  </si>
  <si>
    <t>2017-10</t>
    <phoneticPr fontId="1" type="noConversion"/>
  </si>
  <si>
    <t>杨竞</t>
    <phoneticPr fontId="1" type="noConversion"/>
  </si>
  <si>
    <t>2017-8</t>
    <phoneticPr fontId="1" type="noConversion"/>
  </si>
  <si>
    <t>三峡银行无纸化项目</t>
    <phoneticPr fontId="1" type="noConversion"/>
  </si>
  <si>
    <t>天津农商行无纸化项目</t>
    <phoneticPr fontId="1" type="noConversion"/>
  </si>
  <si>
    <t>安雨萌</t>
    <phoneticPr fontId="1" type="noConversion"/>
  </si>
  <si>
    <t>韩智凯</t>
    <phoneticPr fontId="1" type="noConversion"/>
  </si>
  <si>
    <t>2017-</t>
    <phoneticPr fontId="1" type="noConversion"/>
  </si>
  <si>
    <t>易招标无纸化项目</t>
    <phoneticPr fontId="1" type="noConversion"/>
  </si>
  <si>
    <t>亿云网络无纸化项目</t>
    <phoneticPr fontId="1" type="noConversion"/>
  </si>
  <si>
    <t>姚燕</t>
    <phoneticPr fontId="1" type="noConversion"/>
  </si>
  <si>
    <t>2017-10</t>
    <phoneticPr fontId="1" type="noConversion"/>
  </si>
  <si>
    <t>吴利东</t>
    <phoneticPr fontId="1" type="noConversion"/>
  </si>
  <si>
    <t>泰山保险无纸化项目</t>
    <phoneticPr fontId="1" type="noConversion"/>
  </si>
  <si>
    <t>01-无纸化手写电子签名系统_x000D_
02-无纸化手写签名中间件（Windows）_x000D_
09-场景证书_x000D_
12-企业证书</t>
  </si>
  <si>
    <t>01-无纸化手写电子签名系统_x000D_
02-无纸化手写签名中间件（Windows）_x000D_
09-场景证书_x000D_
12-企业证书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</si>
  <si>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</si>
  <si>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夏虹</t>
    <phoneticPr fontId="1" type="noConversion"/>
  </si>
  <si>
    <t>焦清旺</t>
    <phoneticPr fontId="1" type="noConversion"/>
  </si>
  <si>
    <t>李颖</t>
    <phoneticPr fontId="1" type="noConversion"/>
  </si>
  <si>
    <t>广州分公司</t>
    <phoneticPr fontId="1" type="noConversion"/>
  </si>
  <si>
    <t>尹璐</t>
    <phoneticPr fontId="1" type="noConversion"/>
  </si>
  <si>
    <t>王自冲</t>
    <phoneticPr fontId="1" type="noConversion"/>
  </si>
  <si>
    <t>2017-6</t>
    <phoneticPr fontId="1" type="noConversion"/>
  </si>
  <si>
    <t>01-无纸化手写电子签名系统_x000D_
02-无纸化手写签名中间件（Windows）_x000D_
07-远程时间戳服务_x000D_
09-场景证书_x000D_
12-企业证书</t>
    <phoneticPr fontId="1" type="noConversion"/>
  </si>
  <si>
    <t>海银消费金融无纸化建设项目</t>
    <phoneticPr fontId="1" type="noConversion"/>
  </si>
  <si>
    <t>湘西自治州住房公积金管理中心数据核心系统及综合服务平台项目</t>
    <phoneticPr fontId="1" type="noConversion"/>
  </si>
  <si>
    <t>郑州银行消费金融无纸化项目</t>
    <phoneticPr fontId="1" type="noConversion"/>
  </si>
  <si>
    <t>王泱</t>
    <phoneticPr fontId="1" type="noConversion"/>
  </si>
  <si>
    <t>大众汽车消费金融无纸化建设项目</t>
    <phoneticPr fontId="1" type="noConversion"/>
  </si>
  <si>
    <t>21-汽车消费金融</t>
  </si>
  <si>
    <t>21-汽车消费金融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</si>
  <si>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</si>
  <si>
    <r>
      <t>2</t>
    </r>
    <r>
      <rPr>
        <sz val="11"/>
        <rFont val="宋体"/>
        <family val="3"/>
        <charset val="134"/>
        <scheme val="minor"/>
      </rPr>
      <t>017-6</t>
    </r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</si>
  <si>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</t>
  </si>
  <si>
    <t>无纸化项目</t>
    <phoneticPr fontId="1" type="noConversion"/>
  </si>
  <si>
    <t>17-RA</t>
  </si>
  <si>
    <t>花旗银行无纸化建设项目</t>
    <phoneticPr fontId="1" type="noConversion"/>
  </si>
  <si>
    <t>华通银行无纸化无纸化建设项目</t>
    <phoneticPr fontId="1" type="noConversion"/>
  </si>
  <si>
    <t>38-无纸化云服务</t>
    <phoneticPr fontId="1" type="noConversion"/>
  </si>
  <si>
    <t>李囡</t>
    <phoneticPr fontId="1" type="noConversion"/>
  </si>
  <si>
    <t>海通证券无纸化建设项目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</si>
  <si>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017-10</t>
    </r>
    <phoneticPr fontId="1" type="noConversion"/>
  </si>
  <si>
    <t>11月10日：近期上线</t>
    <phoneticPr fontId="1" type="noConversion"/>
  </si>
  <si>
    <t>可口可乐集团内部办公无纸化建设项目</t>
    <phoneticPr fontId="1" type="noConversion"/>
  </si>
  <si>
    <t>22-集团客户</t>
    <phoneticPr fontId="1" type="noConversion"/>
  </si>
  <si>
    <t>孙洁</t>
    <phoneticPr fontId="1" type="noConversion"/>
  </si>
  <si>
    <t>宜信无纸化项目</t>
    <phoneticPr fontId="1" type="noConversion"/>
  </si>
  <si>
    <t>陈琰</t>
    <phoneticPr fontId="1" type="noConversion"/>
  </si>
  <si>
    <t>中国银行电子回单建设项目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</si>
  <si>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10-个人证书_x000D_
12-企业证书_x000D_
13-蓝牙Key</t>
  </si>
  <si>
    <t>韩智凯、吴利东</t>
    <phoneticPr fontId="1" type="noConversion"/>
  </si>
  <si>
    <t>高小凡</t>
    <phoneticPr fontId="1" type="noConversion"/>
  </si>
  <si>
    <t>刘红日、吴利东</t>
    <phoneticPr fontId="1" type="noConversion"/>
  </si>
  <si>
    <t>01-无纸化手写电子签名系统_x000D_
02-无纸化手写签名中间件（Windows）_x000D_
04-无纸化手写签名中间件（Android）_x000D_
05-无纸化手写签名中间件（weChat）</t>
  </si>
  <si>
    <t>01-无纸化手写电子签名系统_x000D_
03-无纸化手写签名中间件（iOS）_x000D_
04-无纸化手写签名中间件（Android）_x000D_
05-无纸化手写签名中间件（weChat）</t>
  </si>
  <si>
    <t>5月16日：提交客户解决方案
10月25日：完成环境搭建，系统集成中
11月13日：上周完成了无纸化系统上线，部署4台。预计业务系统11月17日上线</t>
    <phoneticPr fontId="1" type="noConversion"/>
  </si>
  <si>
    <t>郑州银行网贷（小企业部钱包好车）无纸化建设项目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</si>
  <si>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1月13日：正在实施中</t>
    </r>
    <phoneticPr fontId="1" type="noConversion"/>
  </si>
  <si>
    <t>郑州银行国美无纸化建设项目</t>
    <phoneticPr fontId="1" type="noConversion"/>
  </si>
  <si>
    <t>11月13日：正在实施中</t>
    <phoneticPr fontId="1" type="noConversion"/>
  </si>
  <si>
    <t>郑州银行优先贷无纸化建设项目</t>
    <phoneticPr fontId="1" type="noConversion"/>
  </si>
  <si>
    <t>10月10日：实施中
11月13日：上线完毕，后续跟踪升级优化需求</t>
    <phoneticPr fontId="1" type="noConversion"/>
  </si>
  <si>
    <t>11月13日：已经采用我们的方式实现场景证书应用，即将上线</t>
    <phoneticPr fontId="1" type="noConversion"/>
  </si>
  <si>
    <t>中保登无纸化项目</t>
    <phoneticPr fontId="1" type="noConversion"/>
  </si>
  <si>
    <t>01-无纸化手写电子签名系统_x000D_
03-无纸化手写签名中间件（iOS）_x000D_
04-无纸化手写签名中间件（Android）_x000D_
05-无纸化手写签名中间件（weChat）_x000D_
07-远程时间戳服务</t>
    <phoneticPr fontId="1" type="noConversion"/>
  </si>
  <si>
    <t>Z - 中保保险资产登记交易系统有限公司</t>
    <phoneticPr fontId="1" type="noConversion"/>
  </si>
  <si>
    <r>
      <t>2017-</t>
    </r>
    <r>
      <rPr>
        <sz val="11"/>
        <rFont val="宋体"/>
        <family val="3"/>
        <charset val="134"/>
        <scheme val="minor"/>
      </rPr>
      <t>11</t>
    </r>
    <phoneticPr fontId="1" type="noConversion"/>
  </si>
  <si>
    <t>万敏</t>
    <phoneticPr fontId="1" type="noConversion"/>
  </si>
  <si>
    <t>11月13日：售前阶段，推荐无纸化一体机，争取不走招标。</t>
    <phoneticPr fontId="1" type="noConversion"/>
  </si>
  <si>
    <t>军委装备发展部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</si>
  <si>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1月13日：田松组和秘相友组开发中，要求20日上线。</t>
    </r>
    <phoneticPr fontId="1" type="noConversion"/>
  </si>
  <si>
    <t>Z - 中国人民解放军总后勤部 第61研究所</t>
    <phoneticPr fontId="1" type="noConversion"/>
  </si>
  <si>
    <t>23-军队行业</t>
  </si>
  <si>
    <t>23-军队行业</t>
    <phoneticPr fontId="1" type="noConversion"/>
  </si>
  <si>
    <t>22-集团客户</t>
  </si>
  <si>
    <t>G - 国富保险</t>
    <phoneticPr fontId="1" type="noConversion"/>
  </si>
  <si>
    <t>国富保险电子保单无纸化项目</t>
    <phoneticPr fontId="1" type="noConversion"/>
  </si>
  <si>
    <t>01-无纸化手写电子签名系统_x000D_
03-无纸化手写签名中间件（iOS）_x000D_
04-无纸化手写签名中间件（Android）_x000D_
05-无纸化手写签名中间件（weChat）</t>
    <phoneticPr fontId="1" type="noConversion"/>
  </si>
  <si>
    <t>2017-11</t>
    <phoneticPr fontId="1" type="noConversion"/>
  </si>
  <si>
    <t>11月13日：售前交流阶段</t>
    <phoneticPr fontId="1" type="noConversion"/>
  </si>
  <si>
    <t>S - 山东京博控股股份有限公司</t>
    <phoneticPr fontId="1" type="noConversion"/>
  </si>
  <si>
    <t>京博石油能源无纸化应用</t>
    <phoneticPr fontId="1" type="noConversion"/>
  </si>
  <si>
    <t>11月13日：完成初步交流</t>
    <phoneticPr fontId="1" type="noConversion"/>
  </si>
  <si>
    <t>12-保险行业</t>
    <phoneticPr fontId="1" type="noConversion"/>
  </si>
  <si>
    <t>J-京能绿园节能科技有限公司</t>
    <phoneticPr fontId="1" type="noConversion"/>
  </si>
  <si>
    <t>京能绿园节能科技有限公司无纸化项目</t>
    <phoneticPr fontId="1" type="noConversion"/>
  </si>
  <si>
    <t>01-无纸化手写电子签名系统_x000D_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</si>
  <si>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017-11</t>
    </r>
    <phoneticPr fontId="1" type="noConversion"/>
  </si>
  <si>
    <t>孙志峰</t>
    <phoneticPr fontId="1" type="noConversion"/>
  </si>
  <si>
    <t>李军</t>
    <phoneticPr fontId="1" type="noConversion"/>
  </si>
  <si>
    <t>T-天逸金融集团</t>
    <phoneticPr fontId="1" type="noConversion"/>
  </si>
  <si>
    <t>天逸金融集团无纸化项目</t>
    <phoneticPr fontId="1" type="noConversion"/>
  </si>
  <si>
    <t>01-无纸化手写电子签名系统_x000D_
07-远程时间戳服务_x000D_
09-场景证书_x000D_
12-企业证书</t>
    <phoneticPr fontId="1" type="noConversion"/>
  </si>
  <si>
    <t>2017-11</t>
    <phoneticPr fontId="1" type="noConversion"/>
  </si>
  <si>
    <t>王召阳</t>
    <phoneticPr fontId="1" type="noConversion"/>
  </si>
  <si>
    <t>J-嘉实基金</t>
    <phoneticPr fontId="1" type="noConversion"/>
  </si>
  <si>
    <t>嘉实基金无纸化项目</t>
    <phoneticPr fontId="1" type="noConversion"/>
  </si>
  <si>
    <t>24-trusSignPdf（Windows）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</si>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</sst>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2"/>
      <color rgb="FF222222"/>
      <name val="Arial"/>
      <family val="2"/>
    </font>
    <font>
      <b/>
      <sz val="18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2" fillId="0" borderId="0" xfId="0" applyFont="1"/>
    <xf numFmtId="0" fontId="2" fillId="0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/>
    </xf>
    <xf numFmtId="0" fontId="4" fillId="0" borderId="0" xfId="0" applyFont="1"/>
    <xf numFmtId="0" fontId="2" fillId="4" borderId="1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0" xfId="0" applyFont="1" applyFill="1"/>
    <xf numFmtId="0" fontId="0" fillId="0" borderId="1" xfId="0" applyBorder="1"/>
    <xf numFmtId="0" fontId="6" fillId="0" borderId="0" xfId="0" applyFont="1"/>
    <xf numFmtId="14" fontId="5" fillId="3" borderId="0" xfId="0" applyNumberFormat="1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right" vertical="center"/>
    </xf>
    <xf numFmtId="0" fontId="5" fillId="3" borderId="0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49" fontId="7" fillId="2" borderId="1" xfId="0" applyNumberFormat="1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49" fontId="6" fillId="0" borderId="1" xfId="0" applyNumberFormat="1" applyFont="1" applyFill="1" applyBorder="1" applyAlignment="1">
      <alignment horizontal="center" vertical="center" wrapText="1"/>
    </xf>
    <xf numFmtId="176" fontId="6" fillId="0" borderId="1" xfId="0" applyNumberFormat="1" applyFont="1" applyFill="1" applyBorder="1" applyAlignment="1">
      <alignment horizontal="center" vertical="center" wrapText="1"/>
    </xf>
    <xf numFmtId="58" fontId="6" fillId="0" borderId="1" xfId="0" applyNumberFormat="1" applyFont="1" applyFill="1" applyBorder="1" applyAlignment="1">
      <alignment horizontal="left" vertical="center" wrapText="1"/>
    </xf>
    <xf numFmtId="0" fontId="6" fillId="0" borderId="0" xfId="0" applyFont="1" applyFill="1"/>
    <xf numFmtId="0" fontId="8" fillId="4" borderId="1" xfId="0" applyFont="1" applyFill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6" fillId="4" borderId="1" xfId="0" applyFont="1" applyFill="1" applyBorder="1" applyAlignment="1">
      <alignment horizontal="left" vertical="center" wrapText="1"/>
    </xf>
    <xf numFmtId="0" fontId="6" fillId="4" borderId="1" xfId="0" applyFont="1" applyFill="1" applyBorder="1" applyAlignment="1">
      <alignment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176" fontId="6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vertical="center" wrapText="1"/>
    </xf>
    <xf numFmtId="58" fontId="6" fillId="0" borderId="2" xfId="0" applyNumberFormat="1" applyFont="1" applyFill="1" applyBorder="1" applyAlignment="1">
      <alignment horizontal="left" vertical="center" wrapText="1"/>
    </xf>
    <xf numFmtId="58" fontId="6" fillId="4" borderId="2" xfId="0" applyNumberFormat="1" applyFont="1" applyFill="1" applyBorder="1" applyAlignment="1">
      <alignment horizontal="left" vertical="center" wrapText="1"/>
    </xf>
    <xf numFmtId="58" fontId="6" fillId="4" borderId="1" xfId="0" applyNumberFormat="1" applyFont="1" applyFill="1" applyBorder="1" applyAlignment="1">
      <alignment horizontal="left" vertical="center" wrapText="1"/>
    </xf>
    <xf numFmtId="0" fontId="8" fillId="4" borderId="1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49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1" xfId="0" applyNumberFormat="1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58" fontId="2" fillId="0" borderId="2" xfId="0" applyNumberFormat="1" applyFont="1" applyFill="1" applyBorder="1" applyAlignment="1">
      <alignment horizontal="left" vertical="center" wrapText="1"/>
    </xf>
    <xf numFmtId="0" fontId="2" fillId="4" borderId="2" xfId="0" applyFont="1" applyFill="1" applyBorder="1" applyAlignment="1">
      <alignment vertical="center" wrapText="1"/>
    </xf>
    <xf numFmtId="58" fontId="2" fillId="4" borderId="2" xfId="0" applyNumberFormat="1" applyFont="1" applyFill="1" applyBorder="1" applyAlignment="1">
      <alignment horizontal="left" vertical="center" wrapText="1"/>
    </xf>
    <xf numFmtId="58" fontId="2" fillId="4" borderId="1" xfId="0" applyNumberFormat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Fill="1" applyBorder="1" applyAlignment="1">
      <alignment horizontal="left" vertical="center" wrapText="1"/>
    </xf>
    <xf numFmtId="0" fontId="3" fillId="4" borderId="4" xfId="0" applyFont="1" applyFill="1" applyBorder="1" applyAlignment="1">
      <alignment horizontal="center" vertical="center" wrapText="1"/>
    </xf>
    <xf numFmtId="176" fontId="2" fillId="4" borderId="1" xfId="0" applyNumberFormat="1" applyFont="1" applyFill="1" applyBorder="1" applyAlignment="1">
      <alignment horizontal="center" vertical="center" wrapText="1"/>
    </xf>
    <xf numFmtId="176" fontId="2" fillId="0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center" vertical="center" wrapText="1"/>
    </xf>
    <xf numFmtId="58" fontId="2" fillId="0" borderId="1" xfId="0" applyNumberFormat="1" applyFont="1" applyFill="1" applyBorder="1" applyAlignment="1">
      <alignment horizontal="left" vertical="center" wrapText="1"/>
    </xf>
    <xf numFmtId="0" fontId="2" fillId="0" borderId="1" xfId="0" applyFont="1" applyBorder="1" applyAlignment="1">
      <alignment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6" fillId="5" borderId="1" xfId="0" applyNumberFormat="1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left" vertical="center" wrapText="1"/>
    </xf>
    <xf numFmtId="0" fontId="8" fillId="4" borderId="6" xfId="0" applyFont="1" applyFill="1" applyBorder="1" applyAlignment="1">
      <alignment horizontal="left" vertical="center" wrapText="1"/>
    </xf>
    <xf numFmtId="0" fontId="8" fillId="4" borderId="4" xfId="0" applyFont="1" applyFill="1" applyBorder="1" applyAlignment="1">
      <alignment horizontal="left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left" vertical="center" wrapText="1"/>
    </xf>
    <xf numFmtId="0" fontId="3" fillId="4" borderId="4" xfId="0" applyFont="1" applyFill="1" applyBorder="1" applyAlignment="1">
      <alignment horizontal="left" vertical="center" wrapText="1"/>
    </xf>
    <xf numFmtId="0" fontId="8" fillId="0" borderId="3" xfId="0" applyFont="1" applyFill="1" applyBorder="1" applyAlignment="1">
      <alignment horizontal="left" vertical="center" wrapText="1"/>
    </xf>
    <xf numFmtId="0" fontId="8" fillId="0" borderId="4" xfId="0" applyFont="1" applyFill="1" applyBorder="1" applyAlignment="1">
      <alignment horizontal="left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left" vertical="center" wrapText="1"/>
    </xf>
    <xf numFmtId="0" fontId="3" fillId="0" borderId="4" xfId="0" applyFont="1" applyFill="1" applyBorder="1" applyAlignment="1">
      <alignment horizontal="left" vertical="center" wrapText="1"/>
    </xf>
    <xf numFmtId="0" fontId="0" fillId="0" borderId="5" xfId="0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oject-status-tracking%20-%202017101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跟踪表"/>
      <sheetName val="Sheet1"/>
      <sheetName val="dictionary"/>
      <sheetName val="紧急项目一览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108"/>
  <sheetViews>
    <sheetView tabSelected="1" zoomScale="85" zoomScaleNormal="85" workbookViewId="0">
      <pane xSplit="2" ySplit="3" topLeftCell="C70" activePane="bottomRight" state="frozen"/>
      <selection activeCell="H120" sqref="H120"/>
      <selection pane="topRight" activeCell="H120" sqref="H120"/>
      <selection pane="bottomLeft" activeCell="H120" sqref="H120"/>
      <selection pane="bottomRight" activeCell="B75" sqref="B75"/>
    </sheetView>
  </sheetViews>
  <sheetFormatPr defaultRowHeight="13.5" x14ac:dyDescent="0.15"/>
  <cols>
    <col min="1" max="1" width="7.25" style="38" customWidth="1"/>
    <col min="2" max="2" width="21.375" style="39" customWidth="1"/>
    <col min="3" max="3" width="22.625" style="39" customWidth="1"/>
    <col min="4" max="4" width="15.375" style="39" customWidth="1"/>
    <col min="5" max="5" width="28.625" style="39" customWidth="1"/>
    <col min="6" max="6" width="10.625" style="39" customWidth="1"/>
    <col min="7" max="7" width="17.125" style="39" customWidth="1"/>
    <col min="8" max="8" width="12.625" style="40" customWidth="1"/>
    <col min="9" max="9" width="10.625" style="41" customWidth="1"/>
    <col min="10" max="10" width="15.625" style="38" customWidth="1"/>
    <col min="11" max="11" width="15.375" style="38" customWidth="1"/>
    <col min="12" max="12" width="70.5" style="42" customWidth="1"/>
    <col min="13" max="16384" width="9" style="11"/>
  </cols>
  <sheetData>
    <row r="1" spans="1:12" ht="30" customHeight="1" x14ac:dyDescent="0.15">
      <c r="A1" s="75" t="s">
        <v>75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</row>
    <row r="2" spans="1:12" ht="30" customHeight="1" x14ac:dyDescent="0.15">
      <c r="A2" s="75" t="s">
        <v>74</v>
      </c>
      <c r="B2" s="75"/>
      <c r="C2" s="12">
        <v>43049</v>
      </c>
      <c r="D2" s="13" t="s">
        <v>315</v>
      </c>
      <c r="E2" s="14">
        <f>WEEKNUM(C2)</f>
        <v>45</v>
      </c>
      <c r="F2" s="15"/>
      <c r="G2" s="15"/>
      <c r="H2" s="15"/>
      <c r="I2" s="15"/>
      <c r="J2" s="15"/>
      <c r="K2" s="15"/>
      <c r="L2" s="15"/>
    </row>
    <row r="3" spans="1:12" ht="20.100000000000001" customHeight="1" x14ac:dyDescent="0.15">
      <c r="A3" s="16" t="s">
        <v>0</v>
      </c>
      <c r="B3" s="16" t="s">
        <v>3</v>
      </c>
      <c r="C3" s="16" t="s">
        <v>61</v>
      </c>
      <c r="D3" s="16" t="s">
        <v>63</v>
      </c>
      <c r="E3" s="16" t="s">
        <v>7</v>
      </c>
      <c r="F3" s="16" t="s">
        <v>6</v>
      </c>
      <c r="G3" s="16" t="s">
        <v>64</v>
      </c>
      <c r="H3" s="17" t="s">
        <v>329</v>
      </c>
      <c r="I3" s="16" t="s">
        <v>1</v>
      </c>
      <c r="J3" s="16" t="s">
        <v>4</v>
      </c>
      <c r="K3" s="16" t="s">
        <v>5</v>
      </c>
      <c r="L3" s="16" t="s">
        <v>2</v>
      </c>
    </row>
    <row r="4" spans="1:12" s="24" customFormat="1" ht="39.950000000000003" customHeight="1" x14ac:dyDescent="0.15">
      <c r="A4" s="43">
        <f>ROW()-3</f>
        <v>1</v>
      </c>
      <c r="B4" s="7" t="s">
        <v>456</v>
      </c>
      <c r="C4" s="7" t="s">
        <v>164</v>
      </c>
      <c r="D4" s="20" t="s">
        <v>165</v>
      </c>
      <c r="E4" s="20" t="s">
        <v>85</v>
      </c>
      <c r="F4" s="20" t="s">
        <v>198</v>
      </c>
      <c r="G4" s="20" t="s">
        <v>197</v>
      </c>
      <c r="H4" s="21" t="s">
        <v>105</v>
      </c>
      <c r="I4" s="22" t="s">
        <v>166</v>
      </c>
      <c r="J4" s="18" t="s">
        <v>8</v>
      </c>
      <c r="K4" s="45" t="s">
        <v>84</v>
      </c>
      <c r="L4" s="23" t="s">
        <v>202</v>
      </c>
    </row>
    <row r="5" spans="1:12" s="24" customFormat="1" ht="39.950000000000003" customHeight="1" x14ac:dyDescent="0.15">
      <c r="A5" s="43">
        <f>ROW()-3</f>
        <v>2</v>
      </c>
      <c r="B5" s="19" t="s">
        <v>163</v>
      </c>
      <c r="C5" s="19" t="s">
        <v>164</v>
      </c>
      <c r="D5" s="20" t="s">
        <v>165</v>
      </c>
      <c r="E5" s="20" t="s">
        <v>92</v>
      </c>
      <c r="F5" s="20" t="s">
        <v>198</v>
      </c>
      <c r="G5" s="20" t="s">
        <v>197</v>
      </c>
      <c r="H5" s="21" t="s">
        <v>105</v>
      </c>
      <c r="I5" s="22" t="s">
        <v>166</v>
      </c>
      <c r="J5" s="18" t="s">
        <v>99</v>
      </c>
      <c r="K5" s="18" t="s">
        <v>181</v>
      </c>
      <c r="L5" s="23" t="s">
        <v>202</v>
      </c>
    </row>
    <row r="6" spans="1:12" ht="39.950000000000003" customHeight="1" x14ac:dyDescent="0.15">
      <c r="A6" s="43">
        <f t="shared" ref="A6:A70" si="0">ROW()-3</f>
        <v>3</v>
      </c>
      <c r="B6" s="25" t="s">
        <v>288</v>
      </c>
      <c r="C6" s="6" t="s">
        <v>274</v>
      </c>
      <c r="D6" s="26" t="s">
        <v>22</v>
      </c>
      <c r="E6" s="27" t="s">
        <v>289</v>
      </c>
      <c r="F6" s="28" t="s">
        <v>41</v>
      </c>
      <c r="G6" s="28" t="s">
        <v>132</v>
      </c>
      <c r="H6" s="29" t="s">
        <v>276</v>
      </c>
      <c r="I6" s="30" t="s">
        <v>108</v>
      </c>
      <c r="J6" s="44" t="s">
        <v>377</v>
      </c>
      <c r="K6" s="31" t="s">
        <v>319</v>
      </c>
      <c r="L6" s="32" t="s">
        <v>320</v>
      </c>
    </row>
    <row r="7" spans="1:12" s="24" customFormat="1" ht="43.5" customHeight="1" x14ac:dyDescent="0.15">
      <c r="A7" s="43">
        <f t="shared" si="0"/>
        <v>4</v>
      </c>
      <c r="B7" s="6" t="s">
        <v>285</v>
      </c>
      <c r="C7" s="6" t="s">
        <v>287</v>
      </c>
      <c r="D7" s="26" t="s">
        <v>145</v>
      </c>
      <c r="E7" s="27" t="s">
        <v>226</v>
      </c>
      <c r="F7" s="28" t="s">
        <v>281</v>
      </c>
      <c r="G7" s="28" t="s">
        <v>224</v>
      </c>
      <c r="H7" s="29" t="s">
        <v>276</v>
      </c>
      <c r="I7" s="30" t="s">
        <v>286</v>
      </c>
      <c r="J7" s="31" t="s">
        <v>8</v>
      </c>
      <c r="K7" s="31"/>
      <c r="L7" s="5" t="s">
        <v>397</v>
      </c>
    </row>
    <row r="8" spans="1:12" s="24" customFormat="1" ht="39.950000000000003" customHeight="1" x14ac:dyDescent="0.15">
      <c r="A8" s="43">
        <f t="shared" si="0"/>
        <v>5</v>
      </c>
      <c r="B8" s="25" t="s">
        <v>215</v>
      </c>
      <c r="C8" s="25" t="s">
        <v>216</v>
      </c>
      <c r="D8" s="26" t="s">
        <v>217</v>
      </c>
      <c r="E8" s="27" t="s">
        <v>219</v>
      </c>
      <c r="F8" s="28" t="s">
        <v>230</v>
      </c>
      <c r="G8" s="28" t="s">
        <v>220</v>
      </c>
      <c r="H8" s="29" t="s">
        <v>211</v>
      </c>
      <c r="I8" s="30" t="s">
        <v>221</v>
      </c>
      <c r="J8" s="31" t="s">
        <v>8</v>
      </c>
      <c r="K8" s="31"/>
      <c r="L8" s="5" t="s">
        <v>222</v>
      </c>
    </row>
    <row r="9" spans="1:12" s="24" customFormat="1" ht="47.25" customHeight="1" x14ac:dyDescent="0.15">
      <c r="A9" s="43">
        <f t="shared" si="0"/>
        <v>6</v>
      </c>
      <c r="B9" s="61" t="s">
        <v>336</v>
      </c>
      <c r="C9" s="6" t="s">
        <v>373</v>
      </c>
      <c r="D9" s="26" t="s">
        <v>11</v>
      </c>
      <c r="E9" s="27" t="s">
        <v>337</v>
      </c>
      <c r="F9" s="28" t="s">
        <v>41</v>
      </c>
      <c r="G9" s="28" t="s">
        <v>51</v>
      </c>
      <c r="H9" s="29" t="s">
        <v>338</v>
      </c>
      <c r="I9" s="30" t="s">
        <v>333</v>
      </c>
      <c r="J9" s="31" t="s">
        <v>103</v>
      </c>
      <c r="K9" s="44" t="s">
        <v>376</v>
      </c>
      <c r="L9" s="5" t="s">
        <v>378</v>
      </c>
    </row>
    <row r="10" spans="1:12" s="24" customFormat="1" ht="47.25" customHeight="1" x14ac:dyDescent="0.15">
      <c r="A10" s="43">
        <f t="shared" si="0"/>
        <v>7</v>
      </c>
      <c r="B10" s="62"/>
      <c r="C10" s="6" t="s">
        <v>374</v>
      </c>
      <c r="D10" s="26" t="s">
        <v>11</v>
      </c>
      <c r="E10" s="27" t="s">
        <v>337</v>
      </c>
      <c r="F10" s="28" t="s">
        <v>41</v>
      </c>
      <c r="G10" s="28" t="s">
        <v>132</v>
      </c>
      <c r="H10" s="29" t="s">
        <v>338</v>
      </c>
      <c r="I10" s="30" t="s">
        <v>333</v>
      </c>
      <c r="J10" s="31" t="s">
        <v>96</v>
      </c>
      <c r="K10" s="44" t="s">
        <v>376</v>
      </c>
      <c r="L10" s="5" t="s">
        <v>379</v>
      </c>
    </row>
    <row r="11" spans="1:12" s="24" customFormat="1" ht="47.25" customHeight="1" x14ac:dyDescent="0.15">
      <c r="A11" s="43">
        <f t="shared" si="0"/>
        <v>8</v>
      </c>
      <c r="B11" s="63"/>
      <c r="C11" s="6" t="s">
        <v>375</v>
      </c>
      <c r="D11" s="26" t="s">
        <v>11</v>
      </c>
      <c r="E11" s="27" t="s">
        <v>337</v>
      </c>
      <c r="F11" s="28" t="s">
        <v>41</v>
      </c>
      <c r="G11" s="28" t="s">
        <v>86</v>
      </c>
      <c r="H11" s="29" t="s">
        <v>338</v>
      </c>
      <c r="I11" s="30" t="s">
        <v>333</v>
      </c>
      <c r="J11" s="31" t="s">
        <v>96</v>
      </c>
      <c r="K11" s="44" t="s">
        <v>376</v>
      </c>
      <c r="L11" s="5" t="s">
        <v>380</v>
      </c>
    </row>
    <row r="12" spans="1:12" s="24" customFormat="1" ht="39.950000000000003" customHeight="1" x14ac:dyDescent="0.15">
      <c r="A12" s="43">
        <f t="shared" si="0"/>
        <v>9</v>
      </c>
      <c r="B12" s="76" t="s">
        <v>434</v>
      </c>
      <c r="C12" s="7" t="s">
        <v>490</v>
      </c>
      <c r="D12" s="20" t="s">
        <v>145</v>
      </c>
      <c r="E12" s="20" t="s">
        <v>489</v>
      </c>
      <c r="F12" s="20" t="s">
        <v>41</v>
      </c>
      <c r="G12" s="20" t="s">
        <v>197</v>
      </c>
      <c r="H12" s="56" t="s">
        <v>491</v>
      </c>
      <c r="I12" s="55" t="s">
        <v>492</v>
      </c>
      <c r="J12" s="45" t="s">
        <v>493</v>
      </c>
      <c r="K12" s="45" t="s">
        <v>247</v>
      </c>
      <c r="L12" s="57" t="s">
        <v>494</v>
      </c>
    </row>
    <row r="13" spans="1:12" s="24" customFormat="1" ht="39.950000000000003" customHeight="1" x14ac:dyDescent="0.15">
      <c r="A13" s="43"/>
      <c r="B13" s="77"/>
      <c r="C13" s="19" t="s">
        <v>488</v>
      </c>
      <c r="D13" s="20" t="s">
        <v>145</v>
      </c>
      <c r="E13" s="20" t="s">
        <v>489</v>
      </c>
      <c r="F13" s="20" t="s">
        <v>41</v>
      </c>
      <c r="G13" s="20" t="s">
        <v>86</v>
      </c>
      <c r="H13" s="56" t="s">
        <v>491</v>
      </c>
      <c r="I13" s="55" t="s">
        <v>492</v>
      </c>
      <c r="J13" s="45" t="s">
        <v>493</v>
      </c>
      <c r="K13" s="45" t="s">
        <v>247</v>
      </c>
      <c r="L13" s="57" t="s">
        <v>495</v>
      </c>
    </row>
    <row r="14" spans="1:12" s="24" customFormat="1" ht="39.950000000000003" customHeight="1" x14ac:dyDescent="0.15">
      <c r="A14" s="43">
        <f t="shared" si="0"/>
        <v>11</v>
      </c>
      <c r="B14" s="7" t="s">
        <v>446</v>
      </c>
      <c r="C14" s="7" t="s">
        <v>483</v>
      </c>
      <c r="D14" s="20" t="s">
        <v>145</v>
      </c>
      <c r="E14" s="20" t="s">
        <v>496</v>
      </c>
      <c r="F14" s="20" t="s">
        <v>41</v>
      </c>
      <c r="G14" s="20" t="s">
        <v>51</v>
      </c>
      <c r="H14" s="56" t="s">
        <v>484</v>
      </c>
      <c r="I14" s="55" t="s">
        <v>485</v>
      </c>
      <c r="J14" s="45" t="s">
        <v>96</v>
      </c>
      <c r="K14" s="45" t="s">
        <v>486</v>
      </c>
      <c r="L14" s="57" t="s">
        <v>487</v>
      </c>
    </row>
    <row r="15" spans="1:12" s="24" customFormat="1" ht="39.950000000000003" customHeight="1" x14ac:dyDescent="0.15">
      <c r="A15" s="43">
        <f t="shared" si="0"/>
        <v>12</v>
      </c>
      <c r="B15" s="7" t="s">
        <v>458</v>
      </c>
      <c r="C15" s="7" t="s">
        <v>497</v>
      </c>
      <c r="D15" s="20" t="s">
        <v>137</v>
      </c>
      <c r="E15" s="20" t="s">
        <v>612</v>
      </c>
      <c r="F15" s="20" t="s">
        <v>41</v>
      </c>
      <c r="G15" s="20" t="s">
        <v>224</v>
      </c>
      <c r="H15" s="56" t="s">
        <v>554</v>
      </c>
      <c r="I15" s="55" t="s">
        <v>552</v>
      </c>
      <c r="J15" s="45" t="s">
        <v>553</v>
      </c>
      <c r="K15" s="45"/>
      <c r="L15" s="23"/>
    </row>
    <row r="16" spans="1:12" s="24" customFormat="1" ht="39.950000000000003" customHeight="1" x14ac:dyDescent="0.15">
      <c r="A16" s="43">
        <f t="shared" si="0"/>
        <v>13</v>
      </c>
      <c r="B16" s="19" t="s">
        <v>187</v>
      </c>
      <c r="C16" s="19" t="s">
        <v>188</v>
      </c>
      <c r="D16" s="20" t="s">
        <v>11</v>
      </c>
      <c r="E16" s="20" t="s">
        <v>85</v>
      </c>
      <c r="F16" s="20" t="s">
        <v>41</v>
      </c>
      <c r="G16" s="20" t="s">
        <v>51</v>
      </c>
      <c r="H16" s="21" t="s">
        <v>133</v>
      </c>
      <c r="I16" s="22" t="s">
        <v>102</v>
      </c>
      <c r="J16" s="18" t="s">
        <v>8</v>
      </c>
      <c r="K16" s="45" t="s">
        <v>381</v>
      </c>
      <c r="L16" s="23" t="s">
        <v>237</v>
      </c>
    </row>
    <row r="17" spans="1:12" ht="39.950000000000003" customHeight="1" x14ac:dyDescent="0.15">
      <c r="A17" s="43">
        <f t="shared" si="0"/>
        <v>14</v>
      </c>
      <c r="B17" s="19" t="s">
        <v>155</v>
      </c>
      <c r="C17" s="19" t="s">
        <v>156</v>
      </c>
      <c r="D17" s="20" t="s">
        <v>13</v>
      </c>
      <c r="E17" s="20" t="s">
        <v>92</v>
      </c>
      <c r="F17" s="20" t="s">
        <v>382</v>
      </c>
      <c r="G17" s="20" t="s">
        <v>51</v>
      </c>
      <c r="H17" s="21" t="s">
        <v>157</v>
      </c>
      <c r="I17" s="22" t="s">
        <v>102</v>
      </c>
      <c r="J17" s="18" t="s">
        <v>158</v>
      </c>
      <c r="K17" s="18" t="s">
        <v>159</v>
      </c>
      <c r="L17" s="46" t="s">
        <v>383</v>
      </c>
    </row>
    <row r="18" spans="1:12" ht="55.5" customHeight="1" x14ac:dyDescent="0.15">
      <c r="A18" s="43">
        <f t="shared" si="0"/>
        <v>15</v>
      </c>
      <c r="B18" s="25" t="s">
        <v>299</v>
      </c>
      <c r="C18" s="25" t="s">
        <v>300</v>
      </c>
      <c r="D18" s="26" t="s">
        <v>301</v>
      </c>
      <c r="E18" s="27" t="s">
        <v>302</v>
      </c>
      <c r="F18" s="28" t="s">
        <v>382</v>
      </c>
      <c r="G18" s="28" t="s">
        <v>224</v>
      </c>
      <c r="H18" s="29" t="s">
        <v>276</v>
      </c>
      <c r="I18" s="30" t="s">
        <v>96</v>
      </c>
      <c r="J18" s="31" t="s">
        <v>8</v>
      </c>
      <c r="K18" s="31"/>
      <c r="L18" s="32" t="s">
        <v>303</v>
      </c>
    </row>
    <row r="19" spans="1:12" ht="55.5" customHeight="1" x14ac:dyDescent="0.15">
      <c r="A19" s="43">
        <f t="shared" si="0"/>
        <v>16</v>
      </c>
      <c r="B19" s="6" t="s">
        <v>457</v>
      </c>
      <c r="C19" s="6" t="s">
        <v>498</v>
      </c>
      <c r="D19" s="26" t="s">
        <v>137</v>
      </c>
      <c r="E19" s="59" t="s">
        <v>613</v>
      </c>
      <c r="F19" s="28" t="s">
        <v>41</v>
      </c>
      <c r="G19" s="28" t="s">
        <v>224</v>
      </c>
      <c r="H19" s="51" t="s">
        <v>499</v>
      </c>
      <c r="I19" s="54" t="s">
        <v>500</v>
      </c>
      <c r="J19" s="44" t="s">
        <v>501</v>
      </c>
      <c r="K19" s="31"/>
      <c r="L19" s="32"/>
    </row>
    <row r="20" spans="1:12" ht="55.5" customHeight="1" x14ac:dyDescent="0.15">
      <c r="A20" s="43">
        <f t="shared" si="0"/>
        <v>17</v>
      </c>
      <c r="B20" s="6" t="s">
        <v>445</v>
      </c>
      <c r="C20" s="6" t="s">
        <v>502</v>
      </c>
      <c r="D20" s="26" t="s">
        <v>301</v>
      </c>
      <c r="E20" s="27" t="s">
        <v>503</v>
      </c>
      <c r="F20" s="28" t="s">
        <v>198</v>
      </c>
      <c r="G20" s="28" t="s">
        <v>125</v>
      </c>
      <c r="H20" s="51" t="s">
        <v>504</v>
      </c>
      <c r="I20" s="54" t="s">
        <v>505</v>
      </c>
      <c r="J20" s="44" t="s">
        <v>506</v>
      </c>
      <c r="K20" s="44" t="s">
        <v>507</v>
      </c>
      <c r="L20" s="32"/>
    </row>
    <row r="21" spans="1:12" ht="55.5" customHeight="1" x14ac:dyDescent="0.15">
      <c r="A21" s="60">
        <f t="shared" si="0"/>
        <v>18</v>
      </c>
      <c r="B21" s="6" t="s">
        <v>440</v>
      </c>
      <c r="C21" s="6" t="s">
        <v>587</v>
      </c>
      <c r="D21" s="26" t="s">
        <v>588</v>
      </c>
      <c r="E21" s="27" t="s">
        <v>590</v>
      </c>
      <c r="F21" s="28" t="s">
        <v>41</v>
      </c>
      <c r="G21" s="28" t="s">
        <v>224</v>
      </c>
      <c r="H21" s="51" t="s">
        <v>591</v>
      </c>
      <c r="I21" s="54" t="s">
        <v>492</v>
      </c>
      <c r="J21" s="44" t="s">
        <v>555</v>
      </c>
      <c r="K21" s="31"/>
      <c r="L21" s="32"/>
    </row>
    <row r="22" spans="1:12" ht="55.5" customHeight="1" x14ac:dyDescent="0.15">
      <c r="A22" s="60">
        <f t="shared" si="0"/>
        <v>19</v>
      </c>
      <c r="B22" s="6" t="s">
        <v>439</v>
      </c>
      <c r="C22" s="6" t="s">
        <v>508</v>
      </c>
      <c r="D22" s="26" t="s">
        <v>588</v>
      </c>
      <c r="E22" s="27" t="s">
        <v>592</v>
      </c>
      <c r="F22" s="28" t="s">
        <v>41</v>
      </c>
      <c r="G22" s="28" t="s">
        <v>224</v>
      </c>
      <c r="H22" s="51" t="s">
        <v>509</v>
      </c>
      <c r="I22" s="54" t="s">
        <v>193</v>
      </c>
      <c r="J22" s="44" t="s">
        <v>511</v>
      </c>
      <c r="K22" s="31"/>
      <c r="L22" s="32"/>
    </row>
    <row r="23" spans="1:12" ht="55.5" customHeight="1" x14ac:dyDescent="0.15">
      <c r="A23" s="60">
        <f t="shared" si="0"/>
        <v>20</v>
      </c>
      <c r="B23" s="6" t="s">
        <v>433</v>
      </c>
      <c r="C23" s="6" t="s">
        <v>593</v>
      </c>
      <c r="D23" s="26" t="s">
        <v>24</v>
      </c>
      <c r="E23" s="27" t="s">
        <v>592</v>
      </c>
      <c r="F23" s="28" t="s">
        <v>281</v>
      </c>
      <c r="G23" s="28" t="s">
        <v>224</v>
      </c>
      <c r="H23" s="51" t="s">
        <v>338</v>
      </c>
      <c r="I23" s="54" t="s">
        <v>505</v>
      </c>
      <c r="J23" s="44" t="s">
        <v>8</v>
      </c>
      <c r="K23" s="31"/>
      <c r="L23" s="32"/>
    </row>
    <row r="24" spans="1:12" ht="55.5" customHeight="1" x14ac:dyDescent="0.15">
      <c r="A24" s="43">
        <f t="shared" si="0"/>
        <v>21</v>
      </c>
      <c r="B24" s="6" t="s">
        <v>432</v>
      </c>
      <c r="C24" s="6" t="s">
        <v>427</v>
      </c>
      <c r="D24" s="26" t="s">
        <v>24</v>
      </c>
      <c r="E24" s="27" t="s">
        <v>302</v>
      </c>
      <c r="F24" s="28" t="s">
        <v>41</v>
      </c>
      <c r="G24" s="28" t="s">
        <v>51</v>
      </c>
      <c r="H24" s="51" t="s">
        <v>428</v>
      </c>
      <c r="I24" s="30" t="s">
        <v>96</v>
      </c>
      <c r="J24" s="44" t="s">
        <v>429</v>
      </c>
      <c r="K24" s="44" t="s">
        <v>430</v>
      </c>
      <c r="L24" s="47" t="s">
        <v>431</v>
      </c>
    </row>
    <row r="25" spans="1:12" ht="55.5" customHeight="1" x14ac:dyDescent="0.15">
      <c r="A25" s="43">
        <f t="shared" si="0"/>
        <v>22</v>
      </c>
      <c r="B25" s="6" t="s">
        <v>448</v>
      </c>
      <c r="C25" s="6" t="s">
        <v>546</v>
      </c>
      <c r="D25" s="26" t="s">
        <v>275</v>
      </c>
      <c r="E25" s="27" t="s">
        <v>594</v>
      </c>
      <c r="F25" s="5" t="s">
        <v>513</v>
      </c>
      <c r="G25" s="28" t="s">
        <v>224</v>
      </c>
      <c r="H25" s="51" t="s">
        <v>547</v>
      </c>
      <c r="I25" s="54" t="s">
        <v>548</v>
      </c>
      <c r="J25" s="44" t="s">
        <v>515</v>
      </c>
      <c r="K25" s="44" t="s">
        <v>180</v>
      </c>
      <c r="L25" s="47" t="s">
        <v>549</v>
      </c>
    </row>
    <row r="26" spans="1:12" ht="55.5" customHeight="1" x14ac:dyDescent="0.15">
      <c r="A26" s="43">
        <f t="shared" si="0"/>
        <v>23</v>
      </c>
      <c r="B26" s="6" t="s">
        <v>634</v>
      </c>
      <c r="C26" s="6" t="s">
        <v>635</v>
      </c>
      <c r="D26" s="26" t="s">
        <v>24</v>
      </c>
      <c r="E26" s="27" t="s">
        <v>636</v>
      </c>
      <c r="F26" s="5" t="s">
        <v>513</v>
      </c>
      <c r="G26" s="28" t="s">
        <v>224</v>
      </c>
      <c r="H26" s="51" t="s">
        <v>637</v>
      </c>
      <c r="I26" s="54" t="s">
        <v>166</v>
      </c>
      <c r="J26" s="44" t="s">
        <v>8</v>
      </c>
      <c r="K26" s="44"/>
      <c r="L26" s="47" t="s">
        <v>638</v>
      </c>
    </row>
    <row r="27" spans="1:12" ht="39.950000000000003" customHeight="1" x14ac:dyDescent="0.15">
      <c r="A27" s="43">
        <f t="shared" si="0"/>
        <v>24</v>
      </c>
      <c r="B27" s="25" t="s">
        <v>184</v>
      </c>
      <c r="C27" s="25" t="s">
        <v>185</v>
      </c>
      <c r="D27" s="26" t="s">
        <v>11</v>
      </c>
      <c r="E27" s="28" t="s">
        <v>116</v>
      </c>
      <c r="F27" s="28" t="s">
        <v>281</v>
      </c>
      <c r="G27" s="28" t="s">
        <v>131</v>
      </c>
      <c r="H27" s="29" t="s">
        <v>105</v>
      </c>
      <c r="I27" s="30" t="s">
        <v>186</v>
      </c>
      <c r="J27" s="31" t="s">
        <v>195</v>
      </c>
      <c r="K27" s="31" t="s">
        <v>84</v>
      </c>
      <c r="L27" s="34" t="s">
        <v>204</v>
      </c>
    </row>
    <row r="28" spans="1:12" ht="39.950000000000003" customHeight="1" x14ac:dyDescent="0.15">
      <c r="A28" s="43">
        <f t="shared" si="0"/>
        <v>25</v>
      </c>
      <c r="B28" s="6" t="s">
        <v>292</v>
      </c>
      <c r="C28" s="6" t="s">
        <v>583</v>
      </c>
      <c r="D28" s="26" t="s">
        <v>13</v>
      </c>
      <c r="E28" s="27" t="s">
        <v>293</v>
      </c>
      <c r="F28" s="28" t="s">
        <v>281</v>
      </c>
      <c r="G28" s="28" t="s">
        <v>220</v>
      </c>
      <c r="H28" s="29" t="s">
        <v>276</v>
      </c>
      <c r="I28" s="30" t="s">
        <v>186</v>
      </c>
      <c r="J28" s="31" t="s">
        <v>109</v>
      </c>
      <c r="K28" s="31"/>
      <c r="L28" s="32" t="s">
        <v>294</v>
      </c>
    </row>
    <row r="29" spans="1:12" ht="39.950000000000003" customHeight="1" x14ac:dyDescent="0.15">
      <c r="A29" s="43">
        <f t="shared" si="0"/>
        <v>26</v>
      </c>
      <c r="B29" s="19" t="s">
        <v>147</v>
      </c>
      <c r="C29" s="19" t="s">
        <v>91</v>
      </c>
      <c r="D29" s="20" t="s">
        <v>94</v>
      </c>
      <c r="E29" s="20" t="s">
        <v>92</v>
      </c>
      <c r="F29" s="20" t="s">
        <v>198</v>
      </c>
      <c r="G29" s="20" t="s">
        <v>197</v>
      </c>
      <c r="H29" s="21" t="s">
        <v>93</v>
      </c>
      <c r="I29" s="22" t="s">
        <v>98</v>
      </c>
      <c r="J29" s="18" t="s">
        <v>158</v>
      </c>
      <c r="K29" s="18" t="s">
        <v>97</v>
      </c>
      <c r="L29" s="33" t="s">
        <v>203</v>
      </c>
    </row>
    <row r="30" spans="1:12" ht="50.25" customHeight="1" x14ac:dyDescent="0.15">
      <c r="A30" s="43">
        <f t="shared" si="0"/>
        <v>27</v>
      </c>
      <c r="B30" s="25" t="s">
        <v>307</v>
      </c>
      <c r="C30" s="25" t="s">
        <v>308</v>
      </c>
      <c r="D30" s="26" t="s">
        <v>13</v>
      </c>
      <c r="E30" s="27" t="s">
        <v>309</v>
      </c>
      <c r="F30" s="28" t="s">
        <v>41</v>
      </c>
      <c r="G30" s="28" t="s">
        <v>51</v>
      </c>
      <c r="H30" s="29" t="s">
        <v>276</v>
      </c>
      <c r="I30" s="30" t="s">
        <v>310</v>
      </c>
      <c r="J30" s="31" t="s">
        <v>8</v>
      </c>
      <c r="K30" s="44" t="s">
        <v>253</v>
      </c>
      <c r="L30" s="47" t="s">
        <v>614</v>
      </c>
    </row>
    <row r="31" spans="1:12" ht="50.25" customHeight="1" x14ac:dyDescent="0.15">
      <c r="A31" s="43">
        <f t="shared" si="0"/>
        <v>28</v>
      </c>
      <c r="B31" s="6" t="s">
        <v>452</v>
      </c>
      <c r="C31" s="6" t="s">
        <v>556</v>
      </c>
      <c r="D31" s="26" t="s">
        <v>145</v>
      </c>
      <c r="E31" s="27" t="s">
        <v>557</v>
      </c>
      <c r="F31" s="28" t="s">
        <v>41</v>
      </c>
      <c r="G31" s="28" t="s">
        <v>224</v>
      </c>
      <c r="H31" s="51" t="s">
        <v>558</v>
      </c>
      <c r="I31" s="30" t="s">
        <v>310</v>
      </c>
      <c r="J31" s="44" t="s">
        <v>559</v>
      </c>
      <c r="K31" s="44"/>
      <c r="L31" s="47"/>
    </row>
    <row r="32" spans="1:12" ht="50.25" customHeight="1" x14ac:dyDescent="0.15">
      <c r="A32" s="60">
        <f t="shared" si="0"/>
        <v>29</v>
      </c>
      <c r="B32" s="6" t="s">
        <v>459</v>
      </c>
      <c r="C32" s="6" t="s">
        <v>599</v>
      </c>
      <c r="D32" s="26" t="s">
        <v>217</v>
      </c>
      <c r="E32" s="27" t="s">
        <v>309</v>
      </c>
      <c r="F32" s="28" t="s">
        <v>41</v>
      </c>
      <c r="G32" s="28" t="s">
        <v>224</v>
      </c>
      <c r="H32" s="51" t="s">
        <v>600</v>
      </c>
      <c r="I32" s="54" t="s">
        <v>606</v>
      </c>
      <c r="J32" s="44" t="s">
        <v>100</v>
      </c>
      <c r="K32" s="44"/>
      <c r="L32" s="47"/>
    </row>
    <row r="33" spans="1:12" ht="39.950000000000003" customHeight="1" x14ac:dyDescent="0.15">
      <c r="A33" s="43">
        <f t="shared" si="0"/>
        <v>30</v>
      </c>
      <c r="B33" s="6" t="s">
        <v>295</v>
      </c>
      <c r="C33" s="25" t="s">
        <v>296</v>
      </c>
      <c r="D33" s="26" t="s">
        <v>297</v>
      </c>
      <c r="E33" s="27" t="s">
        <v>330</v>
      </c>
      <c r="F33" s="28" t="s">
        <v>41</v>
      </c>
      <c r="G33" s="28" t="s">
        <v>282</v>
      </c>
      <c r="H33" s="29" t="s">
        <v>276</v>
      </c>
      <c r="I33" s="30" t="s">
        <v>298</v>
      </c>
      <c r="J33" s="31" t="s">
        <v>109</v>
      </c>
      <c r="K33" s="31" t="s">
        <v>328</v>
      </c>
      <c r="L33" s="47" t="s">
        <v>514</v>
      </c>
    </row>
    <row r="34" spans="1:12" ht="39.950000000000003" customHeight="1" x14ac:dyDescent="0.15">
      <c r="A34" s="43">
        <f t="shared" si="0"/>
        <v>31</v>
      </c>
      <c r="B34" s="73" t="s">
        <v>239</v>
      </c>
      <c r="C34" s="6" t="s">
        <v>401</v>
      </c>
      <c r="D34" s="26" t="s">
        <v>13</v>
      </c>
      <c r="E34" s="28" t="s">
        <v>116</v>
      </c>
      <c r="F34" s="28" t="s">
        <v>198</v>
      </c>
      <c r="G34" s="28" t="s">
        <v>197</v>
      </c>
      <c r="H34" s="29" t="s">
        <v>211</v>
      </c>
      <c r="I34" s="30" t="s">
        <v>240</v>
      </c>
      <c r="J34" s="31" t="s">
        <v>99</v>
      </c>
      <c r="K34" s="44" t="s">
        <v>180</v>
      </c>
      <c r="L34" s="48" t="s">
        <v>322</v>
      </c>
    </row>
    <row r="35" spans="1:12" ht="39.950000000000003" customHeight="1" x14ac:dyDescent="0.15">
      <c r="A35" s="43">
        <f t="shared" si="0"/>
        <v>32</v>
      </c>
      <c r="B35" s="74"/>
      <c r="C35" s="6" t="s">
        <v>402</v>
      </c>
      <c r="D35" s="26" t="s">
        <v>13</v>
      </c>
      <c r="E35" s="28" t="s">
        <v>116</v>
      </c>
      <c r="F35" s="28" t="s">
        <v>198</v>
      </c>
      <c r="G35" s="28" t="s">
        <v>197</v>
      </c>
      <c r="H35" s="29" t="s">
        <v>211</v>
      </c>
      <c r="I35" s="30" t="s">
        <v>240</v>
      </c>
      <c r="J35" s="31" t="s">
        <v>8</v>
      </c>
      <c r="K35" s="44" t="s">
        <v>180</v>
      </c>
      <c r="L35" s="48" t="s">
        <v>403</v>
      </c>
    </row>
    <row r="36" spans="1:12" ht="39.950000000000003" customHeight="1" x14ac:dyDescent="0.15">
      <c r="A36" s="43">
        <f t="shared" si="0"/>
        <v>33</v>
      </c>
      <c r="B36" s="73" t="s">
        <v>148</v>
      </c>
      <c r="C36" s="6" t="s">
        <v>384</v>
      </c>
      <c r="D36" s="26" t="s">
        <v>24</v>
      </c>
      <c r="E36" s="28" t="s">
        <v>85</v>
      </c>
      <c r="F36" s="28" t="s">
        <v>41</v>
      </c>
      <c r="G36" s="28" t="s">
        <v>125</v>
      </c>
      <c r="H36" s="29" t="s">
        <v>87</v>
      </c>
      <c r="I36" s="30" t="s">
        <v>98</v>
      </c>
      <c r="J36" s="31" t="s">
        <v>99</v>
      </c>
      <c r="K36" s="31" t="s">
        <v>100</v>
      </c>
      <c r="L36" s="49" t="s">
        <v>386</v>
      </c>
    </row>
    <row r="37" spans="1:12" ht="39.950000000000003" customHeight="1" x14ac:dyDescent="0.15">
      <c r="A37" s="43">
        <f t="shared" si="0"/>
        <v>34</v>
      </c>
      <c r="B37" s="74"/>
      <c r="C37" s="6" t="s">
        <v>385</v>
      </c>
      <c r="D37" s="26" t="s">
        <v>24</v>
      </c>
      <c r="E37" s="28" t="s">
        <v>85</v>
      </c>
      <c r="F37" s="28" t="s">
        <v>41</v>
      </c>
      <c r="G37" s="28" t="s">
        <v>51</v>
      </c>
      <c r="H37" s="29" t="s">
        <v>87</v>
      </c>
      <c r="I37" s="30" t="s">
        <v>98</v>
      </c>
      <c r="J37" s="31" t="s">
        <v>8</v>
      </c>
      <c r="K37" s="31" t="s">
        <v>100</v>
      </c>
      <c r="L37" s="49" t="s">
        <v>387</v>
      </c>
    </row>
    <row r="38" spans="1:12" ht="39.950000000000003" customHeight="1" x14ac:dyDescent="0.15">
      <c r="A38" s="43">
        <f t="shared" si="0"/>
        <v>35</v>
      </c>
      <c r="B38" s="25" t="s">
        <v>135</v>
      </c>
      <c r="C38" s="25" t="s">
        <v>136</v>
      </c>
      <c r="D38" s="26" t="s">
        <v>137</v>
      </c>
      <c r="E38" s="28" t="s">
        <v>116</v>
      </c>
      <c r="F38" s="28" t="s">
        <v>41</v>
      </c>
      <c r="G38" s="28" t="s">
        <v>51</v>
      </c>
      <c r="H38" s="29" t="s">
        <v>141</v>
      </c>
      <c r="I38" s="30" t="s">
        <v>140</v>
      </c>
      <c r="J38" s="31" t="s">
        <v>183</v>
      </c>
      <c r="K38" s="31" t="s">
        <v>143</v>
      </c>
      <c r="L38" s="49" t="s">
        <v>388</v>
      </c>
    </row>
    <row r="39" spans="1:12" ht="39.950000000000003" customHeight="1" x14ac:dyDescent="0.15">
      <c r="A39" s="43">
        <f t="shared" si="0"/>
        <v>36</v>
      </c>
      <c r="B39" s="25" t="s">
        <v>114</v>
      </c>
      <c r="C39" s="25" t="s">
        <v>115</v>
      </c>
      <c r="D39" s="26" t="s">
        <v>13</v>
      </c>
      <c r="E39" s="28" t="s">
        <v>116</v>
      </c>
      <c r="F39" s="28" t="s">
        <v>198</v>
      </c>
      <c r="G39" s="28" t="s">
        <v>197</v>
      </c>
      <c r="H39" s="29" t="s">
        <v>117</v>
      </c>
      <c r="I39" s="30" t="s">
        <v>118</v>
      </c>
      <c r="J39" s="31" t="s">
        <v>196</v>
      </c>
      <c r="K39" s="31" t="s">
        <v>182</v>
      </c>
      <c r="L39" s="35" t="s">
        <v>205</v>
      </c>
    </row>
    <row r="40" spans="1:12" ht="39.950000000000003" customHeight="1" x14ac:dyDescent="0.15">
      <c r="A40" s="43">
        <f t="shared" si="0"/>
        <v>37</v>
      </c>
      <c r="B40" s="25" t="s">
        <v>206</v>
      </c>
      <c r="C40" s="25" t="s">
        <v>207</v>
      </c>
      <c r="D40" s="26" t="s">
        <v>208</v>
      </c>
      <c r="E40" s="27" t="s">
        <v>210</v>
      </c>
      <c r="F40" s="28" t="s">
        <v>198</v>
      </c>
      <c r="G40" s="28" t="s">
        <v>197</v>
      </c>
      <c r="H40" s="29" t="s">
        <v>211</v>
      </c>
      <c r="I40" s="30" t="s">
        <v>118</v>
      </c>
      <c r="J40" s="31" t="s">
        <v>8</v>
      </c>
      <c r="K40" s="44" t="s">
        <v>389</v>
      </c>
      <c r="L40" s="28" t="s">
        <v>238</v>
      </c>
    </row>
    <row r="41" spans="1:12" ht="39.950000000000003" customHeight="1" x14ac:dyDescent="0.15">
      <c r="A41" s="43">
        <f t="shared" si="0"/>
        <v>38</v>
      </c>
      <c r="B41" s="25" t="s">
        <v>192</v>
      </c>
      <c r="C41" s="6" t="s">
        <v>390</v>
      </c>
      <c r="D41" s="26" t="s">
        <v>11</v>
      </c>
      <c r="E41" s="28" t="s">
        <v>101</v>
      </c>
      <c r="F41" s="28" t="s">
        <v>41</v>
      </c>
      <c r="G41" s="28" t="s">
        <v>125</v>
      </c>
      <c r="H41" s="29" t="s">
        <v>76</v>
      </c>
      <c r="I41" s="30" t="s">
        <v>102</v>
      </c>
      <c r="J41" s="31" t="s">
        <v>103</v>
      </c>
      <c r="K41" s="44" t="s">
        <v>609</v>
      </c>
      <c r="L41" s="48" t="s">
        <v>391</v>
      </c>
    </row>
    <row r="42" spans="1:12" ht="51" customHeight="1" x14ac:dyDescent="0.15">
      <c r="A42" s="43">
        <f t="shared" si="0"/>
        <v>39</v>
      </c>
      <c r="B42" s="25" t="s">
        <v>223</v>
      </c>
      <c r="C42" s="25" t="s">
        <v>290</v>
      </c>
      <c r="D42" s="26" t="s">
        <v>217</v>
      </c>
      <c r="E42" s="27" t="s">
        <v>291</v>
      </c>
      <c r="F42" s="28" t="s">
        <v>41</v>
      </c>
      <c r="G42" s="28" t="s">
        <v>86</v>
      </c>
      <c r="H42" s="29" t="s">
        <v>276</v>
      </c>
      <c r="I42" s="30" t="s">
        <v>122</v>
      </c>
      <c r="J42" s="31" t="s">
        <v>8</v>
      </c>
      <c r="K42" s="31"/>
      <c r="L42" s="47" t="s">
        <v>392</v>
      </c>
    </row>
    <row r="43" spans="1:12" ht="51" customHeight="1" x14ac:dyDescent="0.15">
      <c r="A43" s="60">
        <f t="shared" si="0"/>
        <v>40</v>
      </c>
      <c r="B43" s="6" t="s">
        <v>455</v>
      </c>
      <c r="C43" s="6" t="s">
        <v>596</v>
      </c>
      <c r="D43" s="26" t="s">
        <v>11</v>
      </c>
      <c r="E43" s="27" t="s">
        <v>291</v>
      </c>
      <c r="F43" s="28" t="s">
        <v>41</v>
      </c>
      <c r="G43" s="28" t="s">
        <v>51</v>
      </c>
      <c r="H43" s="51" t="s">
        <v>484</v>
      </c>
      <c r="I43" s="54" t="s">
        <v>146</v>
      </c>
      <c r="J43" s="44" t="s">
        <v>352</v>
      </c>
      <c r="K43" s="31"/>
      <c r="L43" s="47"/>
    </row>
    <row r="44" spans="1:12" ht="51" customHeight="1" x14ac:dyDescent="0.15">
      <c r="A44" s="60">
        <f t="shared" si="0"/>
        <v>41</v>
      </c>
      <c r="B44" s="6" t="s">
        <v>435</v>
      </c>
      <c r="C44" s="6" t="s">
        <v>595</v>
      </c>
      <c r="D44" s="26" t="s">
        <v>11</v>
      </c>
      <c r="E44" s="27" t="s">
        <v>291</v>
      </c>
      <c r="F44" s="28" t="s">
        <v>41</v>
      </c>
      <c r="G44" s="28" t="s">
        <v>224</v>
      </c>
      <c r="H44" s="51" t="s">
        <v>491</v>
      </c>
      <c r="I44" s="54" t="s">
        <v>598</v>
      </c>
      <c r="J44" s="44" t="s">
        <v>511</v>
      </c>
      <c r="K44" s="31"/>
      <c r="L44" s="47"/>
    </row>
    <row r="45" spans="1:12" ht="51" customHeight="1" x14ac:dyDescent="0.15">
      <c r="A45" s="60">
        <f t="shared" si="0"/>
        <v>42</v>
      </c>
      <c r="B45" s="6" t="s">
        <v>447</v>
      </c>
      <c r="C45" s="6" t="s">
        <v>516</v>
      </c>
      <c r="D45" s="26" t="s">
        <v>145</v>
      </c>
      <c r="E45" s="27" t="s">
        <v>291</v>
      </c>
      <c r="F45" s="28" t="s">
        <v>41</v>
      </c>
      <c r="G45" s="28" t="s">
        <v>51</v>
      </c>
      <c r="H45" s="51" t="s">
        <v>491</v>
      </c>
      <c r="I45" s="54" t="s">
        <v>568</v>
      </c>
      <c r="J45" s="44" t="s">
        <v>84</v>
      </c>
      <c r="K45" s="44" t="s">
        <v>84</v>
      </c>
      <c r="L45" s="47" t="s">
        <v>601</v>
      </c>
    </row>
    <row r="46" spans="1:12" ht="39.950000000000003" customHeight="1" x14ac:dyDescent="0.15">
      <c r="A46" s="43">
        <f t="shared" si="0"/>
        <v>43</v>
      </c>
      <c r="B46" s="61" t="s">
        <v>314</v>
      </c>
      <c r="C46" s="6" t="s">
        <v>393</v>
      </c>
      <c r="D46" s="26" t="s">
        <v>11</v>
      </c>
      <c r="E46" s="28" t="s">
        <v>89</v>
      </c>
      <c r="F46" s="28" t="s">
        <v>41</v>
      </c>
      <c r="G46" s="28" t="s">
        <v>125</v>
      </c>
      <c r="H46" s="29" t="s">
        <v>133</v>
      </c>
      <c r="I46" s="30" t="s">
        <v>108</v>
      </c>
      <c r="J46" s="31" t="s">
        <v>96</v>
      </c>
      <c r="K46" s="31" t="s">
        <v>241</v>
      </c>
      <c r="L46" s="48" t="s">
        <v>394</v>
      </c>
    </row>
    <row r="47" spans="1:12" ht="39.950000000000003" customHeight="1" x14ac:dyDescent="0.15">
      <c r="A47" s="43">
        <f t="shared" si="0"/>
        <v>44</v>
      </c>
      <c r="B47" s="63"/>
      <c r="C47" s="6" t="s">
        <v>174</v>
      </c>
      <c r="D47" s="26" t="s">
        <v>11</v>
      </c>
      <c r="E47" s="28" t="s">
        <v>89</v>
      </c>
      <c r="F47" s="28" t="s">
        <v>198</v>
      </c>
      <c r="G47" s="28" t="s">
        <v>171</v>
      </c>
      <c r="H47" s="29" t="s">
        <v>133</v>
      </c>
      <c r="I47" s="30" t="s">
        <v>108</v>
      </c>
      <c r="J47" s="31" t="s">
        <v>96</v>
      </c>
      <c r="K47" s="44" t="s">
        <v>395</v>
      </c>
      <c r="L47" s="48" t="s">
        <v>396</v>
      </c>
    </row>
    <row r="48" spans="1:12" ht="39" customHeight="1" x14ac:dyDescent="0.15">
      <c r="A48" s="43">
        <f t="shared" si="0"/>
        <v>45</v>
      </c>
      <c r="B48" s="50" t="s">
        <v>331</v>
      </c>
      <c r="C48" s="25" t="s">
        <v>332</v>
      </c>
      <c r="D48" s="26" t="s">
        <v>11</v>
      </c>
      <c r="E48" s="28" t="s">
        <v>89</v>
      </c>
      <c r="F48" s="28" t="s">
        <v>382</v>
      </c>
      <c r="G48" s="28" t="s">
        <v>224</v>
      </c>
      <c r="H48" s="29" t="s">
        <v>318</v>
      </c>
      <c r="I48" s="30" t="s">
        <v>333</v>
      </c>
      <c r="J48" s="31" t="s">
        <v>8</v>
      </c>
      <c r="K48" s="31"/>
      <c r="L48" s="34"/>
    </row>
    <row r="49" spans="1:12" ht="39" customHeight="1" x14ac:dyDescent="0.15">
      <c r="A49" s="43">
        <f t="shared" si="0"/>
        <v>46</v>
      </c>
      <c r="B49" s="50" t="s">
        <v>643</v>
      </c>
      <c r="C49" s="6" t="s">
        <v>644</v>
      </c>
      <c r="D49" s="26" t="s">
        <v>145</v>
      </c>
      <c r="E49" s="5" t="s">
        <v>645</v>
      </c>
      <c r="F49" s="28" t="s">
        <v>41</v>
      </c>
      <c r="G49" s="28" t="s">
        <v>224</v>
      </c>
      <c r="H49" s="51" t="s">
        <v>646</v>
      </c>
      <c r="I49" s="54" t="s">
        <v>647</v>
      </c>
      <c r="J49" s="44" t="s">
        <v>648</v>
      </c>
      <c r="K49" s="44" t="s">
        <v>648</v>
      </c>
      <c r="L49" s="34"/>
    </row>
    <row r="50" spans="1:12" ht="39" customHeight="1" x14ac:dyDescent="0.15">
      <c r="A50" s="43"/>
      <c r="B50" s="50" t="s">
        <v>654</v>
      </c>
      <c r="C50" s="6" t="s">
        <v>655</v>
      </c>
      <c r="D50" s="26" t="s">
        <v>137</v>
      </c>
      <c r="E50" s="5" t="s">
        <v>656</v>
      </c>
      <c r="F50" s="28" t="s">
        <v>41</v>
      </c>
      <c r="G50" s="28" t="s">
        <v>131</v>
      </c>
      <c r="H50" s="51" t="s">
        <v>652</v>
      </c>
      <c r="I50" s="54" t="s">
        <v>647</v>
      </c>
      <c r="J50" s="44" t="s">
        <v>648</v>
      </c>
      <c r="K50" s="44" t="s">
        <v>648</v>
      </c>
      <c r="L50" s="34"/>
    </row>
    <row r="51" spans="1:12" ht="39" customHeight="1" x14ac:dyDescent="0.15">
      <c r="A51" s="43">
        <f t="shared" si="0"/>
        <v>48</v>
      </c>
      <c r="B51" s="50" t="s">
        <v>460</v>
      </c>
      <c r="C51" s="6" t="s">
        <v>602</v>
      </c>
      <c r="D51" s="26" t="s">
        <v>588</v>
      </c>
      <c r="E51" s="28" t="s">
        <v>89</v>
      </c>
      <c r="F51" s="28" t="s">
        <v>41</v>
      </c>
      <c r="G51" s="28" t="s">
        <v>224</v>
      </c>
      <c r="H51" s="51" t="s">
        <v>491</v>
      </c>
      <c r="I51" s="54" t="s">
        <v>604</v>
      </c>
      <c r="J51" s="44" t="s">
        <v>96</v>
      </c>
      <c r="K51" s="31"/>
      <c r="L51" s="34"/>
    </row>
    <row r="52" spans="1:12" ht="39.950000000000003" customHeight="1" x14ac:dyDescent="0.15">
      <c r="A52" s="43">
        <f t="shared" si="0"/>
        <v>49</v>
      </c>
      <c r="B52" s="25" t="s">
        <v>149</v>
      </c>
      <c r="C52" s="6" t="s">
        <v>398</v>
      </c>
      <c r="D52" s="26" t="s">
        <v>11</v>
      </c>
      <c r="E52" s="28" t="s">
        <v>89</v>
      </c>
      <c r="F52" s="28" t="s">
        <v>41</v>
      </c>
      <c r="G52" s="28" t="s">
        <v>51</v>
      </c>
      <c r="H52" s="29" t="s">
        <v>133</v>
      </c>
      <c r="I52" s="30" t="s">
        <v>134</v>
      </c>
      <c r="J52" s="31" t="s">
        <v>96</v>
      </c>
      <c r="K52" s="31" t="s">
        <v>142</v>
      </c>
      <c r="L52" s="34"/>
    </row>
    <row r="53" spans="1:12" ht="39.950000000000003" customHeight="1" x14ac:dyDescent="0.15">
      <c r="A53" s="43">
        <f t="shared" si="0"/>
        <v>50</v>
      </c>
      <c r="B53" s="6" t="s">
        <v>444</v>
      </c>
      <c r="C53" s="6" t="s">
        <v>517</v>
      </c>
      <c r="D53" s="58" t="s">
        <v>11</v>
      </c>
      <c r="E53" s="5" t="s">
        <v>518</v>
      </c>
      <c r="F53" s="5" t="s">
        <v>41</v>
      </c>
      <c r="G53" s="5" t="s">
        <v>86</v>
      </c>
      <c r="H53" s="51" t="s">
        <v>560</v>
      </c>
      <c r="I53" s="54" t="s">
        <v>479</v>
      </c>
      <c r="J53" s="44" t="s">
        <v>195</v>
      </c>
      <c r="K53" s="44"/>
      <c r="L53" s="48" t="s">
        <v>519</v>
      </c>
    </row>
    <row r="54" spans="1:12" ht="39.950000000000003" customHeight="1" x14ac:dyDescent="0.15">
      <c r="A54" s="43">
        <f t="shared" si="0"/>
        <v>51</v>
      </c>
      <c r="B54" s="61" t="s">
        <v>152</v>
      </c>
      <c r="C54" s="6" t="s">
        <v>400</v>
      </c>
      <c r="D54" s="26" t="s">
        <v>11</v>
      </c>
      <c r="E54" s="28" t="s">
        <v>89</v>
      </c>
      <c r="F54" s="28" t="s">
        <v>41</v>
      </c>
      <c r="G54" s="28" t="s">
        <v>125</v>
      </c>
      <c r="H54" s="29" t="s">
        <v>154</v>
      </c>
      <c r="I54" s="30" t="s">
        <v>108</v>
      </c>
      <c r="J54" s="31" t="s">
        <v>96</v>
      </c>
      <c r="K54" s="31" t="s">
        <v>142</v>
      </c>
      <c r="L54" s="34" t="s">
        <v>321</v>
      </c>
    </row>
    <row r="55" spans="1:12" ht="39.950000000000003" customHeight="1" x14ac:dyDescent="0.15">
      <c r="A55" s="43">
        <f t="shared" si="0"/>
        <v>52</v>
      </c>
      <c r="B55" s="63"/>
      <c r="C55" s="6" t="s">
        <v>399</v>
      </c>
      <c r="D55" s="26" t="s">
        <v>11</v>
      </c>
      <c r="E55" s="28" t="s">
        <v>89</v>
      </c>
      <c r="F55" s="28" t="s">
        <v>41</v>
      </c>
      <c r="G55" s="28" t="s">
        <v>125</v>
      </c>
      <c r="H55" s="29" t="s">
        <v>154</v>
      </c>
      <c r="I55" s="30" t="s">
        <v>108</v>
      </c>
      <c r="J55" s="31" t="s">
        <v>96</v>
      </c>
      <c r="K55" s="31" t="s">
        <v>142</v>
      </c>
      <c r="L55" s="48" t="s">
        <v>404</v>
      </c>
    </row>
    <row r="56" spans="1:12" ht="38.25" customHeight="1" x14ac:dyDescent="0.15">
      <c r="A56" s="60">
        <f t="shared" si="0"/>
        <v>53</v>
      </c>
      <c r="B56" s="25" t="s">
        <v>225</v>
      </c>
      <c r="C56" s="6" t="s">
        <v>216</v>
      </c>
      <c r="D56" s="26" t="s">
        <v>13</v>
      </c>
      <c r="E56" s="27" t="s">
        <v>226</v>
      </c>
      <c r="F56" s="28" t="s">
        <v>281</v>
      </c>
      <c r="G56" s="28" t="s">
        <v>224</v>
      </c>
      <c r="H56" s="29" t="s">
        <v>105</v>
      </c>
      <c r="I56" s="30" t="s">
        <v>227</v>
      </c>
      <c r="J56" s="31" t="s">
        <v>8</v>
      </c>
      <c r="K56" s="31"/>
      <c r="L56" s="32" t="s">
        <v>280</v>
      </c>
    </row>
    <row r="57" spans="1:12" ht="39.950000000000003" customHeight="1" x14ac:dyDescent="0.15">
      <c r="A57" s="43">
        <f t="shared" si="0"/>
        <v>54</v>
      </c>
      <c r="B57" s="25" t="s">
        <v>150</v>
      </c>
      <c r="C57" s="25" t="s">
        <v>62</v>
      </c>
      <c r="D57" s="26" t="s">
        <v>20</v>
      </c>
      <c r="E57" s="28" t="s">
        <v>89</v>
      </c>
      <c r="F57" s="28" t="s">
        <v>198</v>
      </c>
      <c r="G57" s="28" t="s">
        <v>197</v>
      </c>
      <c r="H57" s="51" t="s">
        <v>154</v>
      </c>
      <c r="I57" s="30" t="s">
        <v>9</v>
      </c>
      <c r="J57" s="31" t="s">
        <v>96</v>
      </c>
      <c r="K57" s="31" t="s">
        <v>90</v>
      </c>
      <c r="L57" s="34" t="s">
        <v>323</v>
      </c>
    </row>
    <row r="58" spans="1:12" ht="39.950000000000003" customHeight="1" x14ac:dyDescent="0.15">
      <c r="A58" s="43">
        <f t="shared" si="0"/>
        <v>55</v>
      </c>
      <c r="B58" s="6" t="s">
        <v>436</v>
      </c>
      <c r="C58" s="6" t="s">
        <v>520</v>
      </c>
      <c r="D58" s="26" t="s">
        <v>145</v>
      </c>
      <c r="E58" s="5" t="s">
        <v>521</v>
      </c>
      <c r="F58" s="5" t="s">
        <v>41</v>
      </c>
      <c r="G58" s="5" t="s">
        <v>522</v>
      </c>
      <c r="H58" s="51" t="s">
        <v>372</v>
      </c>
      <c r="I58" s="54" t="s">
        <v>227</v>
      </c>
      <c r="J58" s="44" t="s">
        <v>523</v>
      </c>
      <c r="K58" s="44"/>
      <c r="L58" s="48"/>
    </row>
    <row r="59" spans="1:12" ht="39.950000000000003" customHeight="1" x14ac:dyDescent="0.15">
      <c r="A59" s="43">
        <f t="shared" si="0"/>
        <v>56</v>
      </c>
      <c r="B59" s="6" t="s">
        <v>443</v>
      </c>
      <c r="C59" s="6" t="s">
        <v>531</v>
      </c>
      <c r="D59" s="26" t="s">
        <v>11</v>
      </c>
      <c r="E59" s="59" t="s">
        <v>534</v>
      </c>
      <c r="F59" s="28" t="s">
        <v>41</v>
      </c>
      <c r="G59" s="28" t="s">
        <v>224</v>
      </c>
      <c r="H59" s="51" t="s">
        <v>532</v>
      </c>
      <c r="I59" s="54" t="s">
        <v>533</v>
      </c>
      <c r="J59" s="44" t="s">
        <v>511</v>
      </c>
      <c r="K59" s="44"/>
      <c r="L59" s="32"/>
    </row>
    <row r="60" spans="1:12" ht="39.950000000000003" customHeight="1" x14ac:dyDescent="0.15">
      <c r="A60" s="43">
        <f t="shared" si="0"/>
        <v>57</v>
      </c>
      <c r="B60" s="25" t="s">
        <v>232</v>
      </c>
      <c r="C60" s="25" t="s">
        <v>233</v>
      </c>
      <c r="D60" s="26" t="s">
        <v>94</v>
      </c>
      <c r="E60" s="27" t="s">
        <v>234</v>
      </c>
      <c r="F60" s="28" t="s">
        <v>41</v>
      </c>
      <c r="G60" s="28" t="s">
        <v>130</v>
      </c>
      <c r="H60" s="29" t="s">
        <v>211</v>
      </c>
      <c r="I60" s="30" t="s">
        <v>235</v>
      </c>
      <c r="J60" s="31" t="s">
        <v>236</v>
      </c>
      <c r="K60" s="44" t="s">
        <v>405</v>
      </c>
      <c r="L60" s="32"/>
    </row>
    <row r="61" spans="1:12" ht="39.950000000000003" customHeight="1" x14ac:dyDescent="0.15">
      <c r="A61" s="43">
        <f t="shared" si="0"/>
        <v>58</v>
      </c>
      <c r="B61" s="25" t="s">
        <v>334</v>
      </c>
      <c r="C61" s="25" t="s">
        <v>335</v>
      </c>
      <c r="D61" s="26" t="s">
        <v>24</v>
      </c>
      <c r="E61" s="27" t="s">
        <v>234</v>
      </c>
      <c r="F61" s="28" t="s">
        <v>41</v>
      </c>
      <c r="G61" s="28" t="s">
        <v>86</v>
      </c>
      <c r="H61" s="29" t="s">
        <v>318</v>
      </c>
      <c r="I61" s="30" t="s">
        <v>277</v>
      </c>
      <c r="J61" s="31" t="s">
        <v>8</v>
      </c>
      <c r="K61" s="31" t="s">
        <v>142</v>
      </c>
      <c r="L61" s="47" t="s">
        <v>406</v>
      </c>
    </row>
    <row r="62" spans="1:12" ht="39.950000000000003" customHeight="1" x14ac:dyDescent="0.15">
      <c r="A62" s="43">
        <f t="shared" si="0"/>
        <v>59</v>
      </c>
      <c r="B62" s="6" t="s">
        <v>639</v>
      </c>
      <c r="C62" s="6" t="s">
        <v>640</v>
      </c>
      <c r="D62" s="26" t="s">
        <v>633</v>
      </c>
      <c r="E62" s="27" t="s">
        <v>234</v>
      </c>
      <c r="F62" s="28" t="s">
        <v>41</v>
      </c>
      <c r="G62" s="28" t="s">
        <v>224</v>
      </c>
      <c r="H62" s="51" t="s">
        <v>625</v>
      </c>
      <c r="I62" s="54" t="s">
        <v>485</v>
      </c>
      <c r="J62" s="44" t="s">
        <v>247</v>
      </c>
      <c r="K62" s="31"/>
      <c r="L62" s="47" t="s">
        <v>641</v>
      </c>
    </row>
    <row r="63" spans="1:12" s="1" customFormat="1" ht="38.25" customHeight="1" x14ac:dyDescent="0.15">
      <c r="A63" s="43">
        <f t="shared" si="0"/>
        <v>60</v>
      </c>
      <c r="B63" s="6" t="s">
        <v>524</v>
      </c>
      <c r="C63" s="6" t="s">
        <v>525</v>
      </c>
      <c r="D63" s="58" t="s">
        <v>11</v>
      </c>
      <c r="E63" s="59" t="s">
        <v>518</v>
      </c>
      <c r="F63" s="5" t="s">
        <v>281</v>
      </c>
      <c r="G63" s="28" t="s">
        <v>224</v>
      </c>
      <c r="H63" s="51" t="s">
        <v>338</v>
      </c>
      <c r="I63" s="54" t="s">
        <v>191</v>
      </c>
      <c r="J63" s="44" t="s">
        <v>8</v>
      </c>
      <c r="K63" s="44"/>
      <c r="L63" s="47" t="s">
        <v>526</v>
      </c>
    </row>
    <row r="64" spans="1:12" s="1" customFormat="1" ht="38.25" customHeight="1" x14ac:dyDescent="0.15">
      <c r="A64" s="43">
        <f t="shared" si="0"/>
        <v>61</v>
      </c>
      <c r="B64" s="6" t="s">
        <v>527</v>
      </c>
      <c r="C64" s="6" t="s">
        <v>528</v>
      </c>
      <c r="D64" s="58" t="s">
        <v>145</v>
      </c>
      <c r="E64" s="59" t="s">
        <v>572</v>
      </c>
      <c r="F64" s="5" t="s">
        <v>41</v>
      </c>
      <c r="G64" s="5" t="s">
        <v>132</v>
      </c>
      <c r="H64" s="51" t="s">
        <v>560</v>
      </c>
      <c r="I64" s="54" t="s">
        <v>577</v>
      </c>
      <c r="J64" s="44" t="s">
        <v>529</v>
      </c>
      <c r="K64" s="44" t="s">
        <v>578</v>
      </c>
      <c r="L64" s="47" t="s">
        <v>530</v>
      </c>
    </row>
    <row r="65" spans="1:12" s="1" customFormat="1" ht="54" x14ac:dyDescent="0.15">
      <c r="A65" s="43">
        <f t="shared" si="0"/>
        <v>62</v>
      </c>
      <c r="B65" s="69" t="s">
        <v>535</v>
      </c>
      <c r="C65" s="67" t="s">
        <v>551</v>
      </c>
      <c r="D65" s="58" t="s">
        <v>11</v>
      </c>
      <c r="E65" s="59" t="s">
        <v>210</v>
      </c>
      <c r="F65" s="5" t="s">
        <v>512</v>
      </c>
      <c r="G65" s="28" t="s">
        <v>125</v>
      </c>
      <c r="H65" s="51" t="s">
        <v>581</v>
      </c>
      <c r="I65" s="54" t="s">
        <v>579</v>
      </c>
      <c r="J65" s="44" t="s">
        <v>580</v>
      </c>
      <c r="K65" s="44" t="s">
        <v>180</v>
      </c>
      <c r="L65" s="47" t="s">
        <v>536</v>
      </c>
    </row>
    <row r="66" spans="1:12" s="1" customFormat="1" ht="54" x14ac:dyDescent="0.15">
      <c r="A66" s="43">
        <f t="shared" si="0"/>
        <v>63</v>
      </c>
      <c r="B66" s="70"/>
      <c r="C66" s="68"/>
      <c r="D66" s="58" t="s">
        <v>11</v>
      </c>
      <c r="E66" s="59" t="s">
        <v>210</v>
      </c>
      <c r="F66" s="5" t="s">
        <v>512</v>
      </c>
      <c r="G66" s="28" t="s">
        <v>125</v>
      </c>
      <c r="H66" s="51" t="s">
        <v>318</v>
      </c>
      <c r="I66" s="54" t="s">
        <v>191</v>
      </c>
      <c r="J66" s="44" t="s">
        <v>90</v>
      </c>
      <c r="K66" s="44" t="s">
        <v>180</v>
      </c>
      <c r="L66" s="47" t="s">
        <v>620</v>
      </c>
    </row>
    <row r="67" spans="1:12" s="1" customFormat="1" ht="38.25" customHeight="1" x14ac:dyDescent="0.15">
      <c r="A67" s="43">
        <f t="shared" si="0"/>
        <v>64</v>
      </c>
      <c r="B67" s="6" t="s">
        <v>537</v>
      </c>
      <c r="C67" s="6" t="s">
        <v>561</v>
      </c>
      <c r="D67" s="58" t="s">
        <v>11</v>
      </c>
      <c r="E67" s="59" t="s">
        <v>582</v>
      </c>
      <c r="F67" s="5" t="s">
        <v>41</v>
      </c>
      <c r="G67" s="28" t="s">
        <v>130</v>
      </c>
      <c r="H67" s="51" t="s">
        <v>565</v>
      </c>
      <c r="I67" s="54" t="s">
        <v>610</v>
      </c>
      <c r="J67" s="44" t="s">
        <v>501</v>
      </c>
      <c r="K67" s="44" t="s">
        <v>501</v>
      </c>
      <c r="L67" s="47" t="s">
        <v>538</v>
      </c>
    </row>
    <row r="68" spans="1:12" ht="39.950000000000003" customHeight="1" x14ac:dyDescent="0.15">
      <c r="A68" s="43">
        <f t="shared" si="0"/>
        <v>65</v>
      </c>
      <c r="B68" s="6" t="s">
        <v>437</v>
      </c>
      <c r="C68" s="6" t="s">
        <v>571</v>
      </c>
      <c r="D68" s="26" t="s">
        <v>24</v>
      </c>
      <c r="E68" s="5" t="s">
        <v>573</v>
      </c>
      <c r="F68" s="28" t="s">
        <v>41</v>
      </c>
      <c r="G68" s="28" t="s">
        <v>224</v>
      </c>
      <c r="H68" s="51" t="s">
        <v>574</v>
      </c>
      <c r="I68" s="54" t="s">
        <v>575</v>
      </c>
      <c r="J68" s="44" t="s">
        <v>576</v>
      </c>
      <c r="K68" s="44"/>
      <c r="L68" s="48"/>
    </row>
    <row r="69" spans="1:12" ht="39.950000000000003" customHeight="1" x14ac:dyDescent="0.15">
      <c r="A69" s="43">
        <f t="shared" si="0"/>
        <v>66</v>
      </c>
      <c r="B69" s="25" t="s">
        <v>341</v>
      </c>
      <c r="C69" s="6" t="s">
        <v>407</v>
      </c>
      <c r="D69" s="26" t="s">
        <v>11</v>
      </c>
      <c r="E69" s="28" t="s">
        <v>112</v>
      </c>
      <c r="F69" s="28" t="s">
        <v>41</v>
      </c>
      <c r="G69" s="28" t="s">
        <v>125</v>
      </c>
      <c r="H69" s="29" t="s">
        <v>318</v>
      </c>
      <c r="I69" s="30" t="s">
        <v>342</v>
      </c>
      <c r="J69" s="31" t="s">
        <v>8</v>
      </c>
      <c r="K69" s="44" t="s">
        <v>241</v>
      </c>
      <c r="L69" s="48" t="s">
        <v>408</v>
      </c>
    </row>
    <row r="70" spans="1:12" ht="39.950000000000003" customHeight="1" x14ac:dyDescent="0.15">
      <c r="A70" s="43">
        <f t="shared" si="0"/>
        <v>67</v>
      </c>
      <c r="B70" s="61" t="s">
        <v>162</v>
      </c>
      <c r="C70" s="6" t="s">
        <v>409</v>
      </c>
      <c r="D70" s="26" t="s">
        <v>11</v>
      </c>
      <c r="E70" s="28" t="s">
        <v>112</v>
      </c>
      <c r="F70" s="28" t="s">
        <v>41</v>
      </c>
      <c r="G70" s="28" t="s">
        <v>197</v>
      </c>
      <c r="H70" s="29" t="s">
        <v>369</v>
      </c>
      <c r="I70" s="30" t="s">
        <v>161</v>
      </c>
      <c r="J70" s="31" t="s">
        <v>99</v>
      </c>
      <c r="K70" s="44" t="s">
        <v>611</v>
      </c>
      <c r="L70" s="34" t="s">
        <v>324</v>
      </c>
    </row>
    <row r="71" spans="1:12" ht="39.950000000000003" customHeight="1" x14ac:dyDescent="0.15">
      <c r="A71" s="43">
        <f t="shared" ref="A71:A88" si="1">ROW()-3</f>
        <v>68</v>
      </c>
      <c r="B71" s="62"/>
      <c r="C71" s="6" t="s">
        <v>410</v>
      </c>
      <c r="D71" s="26" t="s">
        <v>11</v>
      </c>
      <c r="E71" s="28" t="s">
        <v>112</v>
      </c>
      <c r="F71" s="28" t="s">
        <v>41</v>
      </c>
      <c r="G71" s="28" t="s">
        <v>197</v>
      </c>
      <c r="H71" s="51" t="s">
        <v>413</v>
      </c>
      <c r="I71" s="30" t="s">
        <v>161</v>
      </c>
      <c r="J71" s="31" t="s">
        <v>8</v>
      </c>
      <c r="K71" s="44" t="s">
        <v>416</v>
      </c>
      <c r="L71" s="48" t="s">
        <v>412</v>
      </c>
    </row>
    <row r="72" spans="1:12" ht="39.950000000000003" customHeight="1" x14ac:dyDescent="0.15">
      <c r="A72" s="43">
        <f t="shared" si="1"/>
        <v>69</v>
      </c>
      <c r="B72" s="63"/>
      <c r="C72" s="6" t="s">
        <v>411</v>
      </c>
      <c r="D72" s="26" t="s">
        <v>11</v>
      </c>
      <c r="E72" s="28" t="s">
        <v>112</v>
      </c>
      <c r="F72" s="28" t="s">
        <v>41</v>
      </c>
      <c r="G72" s="28" t="s">
        <v>197</v>
      </c>
      <c r="H72" s="51" t="s">
        <v>414</v>
      </c>
      <c r="I72" s="30" t="s">
        <v>161</v>
      </c>
      <c r="J72" s="31" t="s">
        <v>8</v>
      </c>
      <c r="K72" s="44" t="s">
        <v>416</v>
      </c>
      <c r="L72" s="48" t="s">
        <v>412</v>
      </c>
    </row>
    <row r="73" spans="1:12" ht="39.950000000000003" customHeight="1" x14ac:dyDescent="0.15">
      <c r="A73" s="43">
        <f t="shared" si="1"/>
        <v>70</v>
      </c>
      <c r="B73" s="25" t="s">
        <v>151</v>
      </c>
      <c r="C73" s="6" t="s">
        <v>144</v>
      </c>
      <c r="D73" s="26" t="s">
        <v>145</v>
      </c>
      <c r="E73" s="5" t="s">
        <v>657</v>
      </c>
      <c r="F73" s="28" t="s">
        <v>198</v>
      </c>
      <c r="G73" s="28" t="s">
        <v>415</v>
      </c>
      <c r="H73" s="29" t="s">
        <v>113</v>
      </c>
      <c r="I73" s="30" t="s">
        <v>146</v>
      </c>
      <c r="J73" s="31" t="s">
        <v>99</v>
      </c>
      <c r="K73" s="44" t="s">
        <v>194</v>
      </c>
      <c r="L73" s="34" t="s">
        <v>284</v>
      </c>
    </row>
    <row r="74" spans="1:12" ht="39.950000000000003" customHeight="1" x14ac:dyDescent="0.15">
      <c r="A74" s="43">
        <f t="shared" si="1"/>
        <v>71</v>
      </c>
      <c r="B74" s="6" t="s">
        <v>442</v>
      </c>
      <c r="C74" s="6" t="s">
        <v>562</v>
      </c>
      <c r="D74" s="26" t="s">
        <v>11</v>
      </c>
      <c r="E74" s="5" t="s">
        <v>651</v>
      </c>
      <c r="F74" s="28" t="s">
        <v>41</v>
      </c>
      <c r="G74" s="28" t="s">
        <v>224</v>
      </c>
      <c r="H74" s="51" t="s">
        <v>565</v>
      </c>
      <c r="I74" s="54" t="s">
        <v>563</v>
      </c>
      <c r="J74" s="44" t="s">
        <v>564</v>
      </c>
      <c r="K74" s="44"/>
      <c r="L74" s="34"/>
    </row>
    <row r="75" spans="1:12" ht="39.950000000000003" customHeight="1" x14ac:dyDescent="0.15">
      <c r="A75" s="43"/>
      <c r="B75" s="6" t="s">
        <v>649</v>
      </c>
      <c r="C75" s="6" t="s">
        <v>650</v>
      </c>
      <c r="D75" s="26" t="s">
        <v>145</v>
      </c>
      <c r="E75" s="5" t="s">
        <v>645</v>
      </c>
      <c r="F75" s="28" t="s">
        <v>41</v>
      </c>
      <c r="G75" s="28" t="s">
        <v>224</v>
      </c>
      <c r="H75" s="51" t="s">
        <v>652</v>
      </c>
      <c r="I75" s="54" t="s">
        <v>653</v>
      </c>
      <c r="J75" s="44" t="s">
        <v>648</v>
      </c>
      <c r="K75" s="44" t="s">
        <v>648</v>
      </c>
      <c r="L75" s="34"/>
    </row>
    <row r="76" spans="1:12" ht="39.950000000000003" customHeight="1" x14ac:dyDescent="0.15">
      <c r="A76" s="43">
        <f t="shared" si="1"/>
        <v>73</v>
      </c>
      <c r="B76" s="25" t="s">
        <v>189</v>
      </c>
      <c r="C76" s="6" t="s">
        <v>190</v>
      </c>
      <c r="D76" s="26" t="s">
        <v>11</v>
      </c>
      <c r="E76" s="28" t="s">
        <v>112</v>
      </c>
      <c r="F76" s="28" t="s">
        <v>41</v>
      </c>
      <c r="G76" s="28" t="s">
        <v>125</v>
      </c>
      <c r="H76" s="29" t="s">
        <v>367</v>
      </c>
      <c r="I76" s="30" t="s">
        <v>191</v>
      </c>
      <c r="J76" s="31" t="s">
        <v>158</v>
      </c>
      <c r="K76" s="44" t="s">
        <v>417</v>
      </c>
      <c r="L76" s="48" t="s">
        <v>454</v>
      </c>
    </row>
    <row r="77" spans="1:12" ht="39.950000000000003" customHeight="1" x14ac:dyDescent="0.15">
      <c r="A77" s="43">
        <f t="shared" si="1"/>
        <v>74</v>
      </c>
      <c r="B77" s="25" t="s">
        <v>339</v>
      </c>
      <c r="C77" s="25" t="s">
        <v>340</v>
      </c>
      <c r="D77" s="26" t="s">
        <v>22</v>
      </c>
      <c r="E77" s="28" t="s">
        <v>112</v>
      </c>
      <c r="F77" s="28" t="s">
        <v>41</v>
      </c>
      <c r="G77" s="28" t="s">
        <v>224</v>
      </c>
      <c r="H77" s="29" t="s">
        <v>368</v>
      </c>
      <c r="I77" s="30" t="s">
        <v>108</v>
      </c>
      <c r="J77" s="31" t="s">
        <v>100</v>
      </c>
      <c r="K77" s="31" t="s">
        <v>100</v>
      </c>
      <c r="L77" s="34" t="s">
        <v>199</v>
      </c>
    </row>
    <row r="78" spans="1:12" ht="39.950000000000003" customHeight="1" x14ac:dyDescent="0.15">
      <c r="A78" s="43">
        <f t="shared" si="1"/>
        <v>75</v>
      </c>
      <c r="B78" s="25" t="s">
        <v>110</v>
      </c>
      <c r="C78" s="25" t="s">
        <v>111</v>
      </c>
      <c r="D78" s="26" t="s">
        <v>11</v>
      </c>
      <c r="E78" s="28" t="s">
        <v>112</v>
      </c>
      <c r="F78" s="28" t="s">
        <v>41</v>
      </c>
      <c r="G78" s="28" t="s">
        <v>131</v>
      </c>
      <c r="H78" s="29" t="s">
        <v>113</v>
      </c>
      <c r="I78" s="30" t="s">
        <v>193</v>
      </c>
      <c r="J78" s="31" t="s">
        <v>99</v>
      </c>
      <c r="K78" s="31" t="s">
        <v>200</v>
      </c>
      <c r="L78" s="34" t="s">
        <v>201</v>
      </c>
    </row>
    <row r="79" spans="1:12" ht="39.950000000000003" customHeight="1" x14ac:dyDescent="0.15">
      <c r="A79" s="43">
        <f t="shared" ref="A79:A108" si="2">ROW()-3</f>
        <v>76</v>
      </c>
      <c r="B79" s="36" t="s">
        <v>370</v>
      </c>
      <c r="C79" s="25" t="s">
        <v>371</v>
      </c>
      <c r="D79" s="26" t="s">
        <v>13</v>
      </c>
      <c r="E79" s="28" t="s">
        <v>317</v>
      </c>
      <c r="F79" s="28" t="s">
        <v>41</v>
      </c>
      <c r="G79" s="28" t="s">
        <v>132</v>
      </c>
      <c r="H79" s="29" t="s">
        <v>372</v>
      </c>
      <c r="I79" s="30" t="s">
        <v>347</v>
      </c>
      <c r="J79" s="31" t="s">
        <v>348</v>
      </c>
      <c r="K79" s="44" t="s">
        <v>84</v>
      </c>
      <c r="L79" s="48" t="s">
        <v>419</v>
      </c>
    </row>
    <row r="80" spans="1:12" ht="39.950000000000003" customHeight="1" x14ac:dyDescent="0.15">
      <c r="A80" s="43">
        <f t="shared" si="2"/>
        <v>77</v>
      </c>
      <c r="B80" s="50" t="s">
        <v>461</v>
      </c>
      <c r="C80" s="6" t="s">
        <v>584</v>
      </c>
      <c r="D80" s="26" t="s">
        <v>275</v>
      </c>
      <c r="E80" s="28" t="s">
        <v>317</v>
      </c>
      <c r="F80" s="28" t="s">
        <v>41</v>
      </c>
      <c r="G80" s="28" t="s">
        <v>86</v>
      </c>
      <c r="H80" s="29" t="s">
        <v>372</v>
      </c>
      <c r="I80" s="54" t="s">
        <v>9</v>
      </c>
      <c r="J80" s="44" t="s">
        <v>247</v>
      </c>
      <c r="K80" s="44"/>
      <c r="L80" s="48" t="s">
        <v>462</v>
      </c>
    </row>
    <row r="81" spans="1:12" ht="39.950000000000003" customHeight="1" x14ac:dyDescent="0.15">
      <c r="A81" s="43">
        <f t="shared" si="2"/>
        <v>78</v>
      </c>
      <c r="B81" s="25" t="s">
        <v>212</v>
      </c>
      <c r="C81" s="25" t="s">
        <v>213</v>
      </c>
      <c r="D81" s="26" t="s">
        <v>11</v>
      </c>
      <c r="E81" s="27" t="s">
        <v>214</v>
      </c>
      <c r="F81" s="28" t="s">
        <v>41</v>
      </c>
      <c r="G81" s="28" t="s">
        <v>282</v>
      </c>
      <c r="H81" s="29" t="s">
        <v>113</v>
      </c>
      <c r="I81" s="30" t="s">
        <v>134</v>
      </c>
      <c r="J81" s="31" t="s">
        <v>8</v>
      </c>
      <c r="K81" s="44" t="s">
        <v>418</v>
      </c>
      <c r="L81" s="32" t="s">
        <v>283</v>
      </c>
    </row>
    <row r="82" spans="1:12" ht="39.950000000000003" customHeight="1" x14ac:dyDescent="0.15">
      <c r="A82" s="43">
        <f t="shared" si="2"/>
        <v>79</v>
      </c>
      <c r="B82" s="6" t="s">
        <v>438</v>
      </c>
      <c r="C82" s="6" t="s">
        <v>550</v>
      </c>
      <c r="D82" s="26" t="s">
        <v>24</v>
      </c>
      <c r="E82" s="27" t="s">
        <v>518</v>
      </c>
      <c r="F82" s="28" t="s">
        <v>41</v>
      </c>
      <c r="G82" s="28" t="s">
        <v>224</v>
      </c>
      <c r="H82" s="51" t="s">
        <v>532</v>
      </c>
      <c r="I82" s="54" t="s">
        <v>510</v>
      </c>
      <c r="J82" s="44" t="s">
        <v>511</v>
      </c>
      <c r="K82" s="31"/>
      <c r="L82" s="32"/>
    </row>
    <row r="83" spans="1:12" ht="39.950000000000003" customHeight="1" x14ac:dyDescent="0.15">
      <c r="A83" s="60">
        <f t="shared" si="2"/>
        <v>80</v>
      </c>
      <c r="B83" s="6" t="s">
        <v>449</v>
      </c>
      <c r="C83" s="6" t="s">
        <v>605</v>
      </c>
      <c r="D83" s="26" t="s">
        <v>165</v>
      </c>
      <c r="E83" s="27" t="s">
        <v>518</v>
      </c>
      <c r="F83" s="28" t="s">
        <v>41</v>
      </c>
      <c r="G83" s="28" t="s">
        <v>224</v>
      </c>
      <c r="H83" s="51" t="s">
        <v>372</v>
      </c>
      <c r="I83" s="54" t="s">
        <v>485</v>
      </c>
      <c r="J83" s="44" t="s">
        <v>247</v>
      </c>
      <c r="K83" s="31"/>
      <c r="L83" s="32"/>
    </row>
    <row r="84" spans="1:12" ht="39.950000000000003" customHeight="1" x14ac:dyDescent="0.15">
      <c r="A84" s="60">
        <f t="shared" si="2"/>
        <v>81</v>
      </c>
      <c r="B84" s="6" t="s">
        <v>450</v>
      </c>
      <c r="C84" s="6" t="s">
        <v>567</v>
      </c>
      <c r="D84" s="26" t="s">
        <v>301</v>
      </c>
      <c r="E84" s="58" t="s">
        <v>29</v>
      </c>
      <c r="F84" s="5" t="s">
        <v>41</v>
      </c>
      <c r="G84" s="28" t="s">
        <v>224</v>
      </c>
      <c r="H84" s="51" t="s">
        <v>484</v>
      </c>
      <c r="I84" s="54" t="s">
        <v>191</v>
      </c>
      <c r="J84" s="44" t="s">
        <v>8</v>
      </c>
      <c r="K84" s="31"/>
      <c r="L84" s="32"/>
    </row>
    <row r="85" spans="1:12" ht="39.950000000000003" customHeight="1" x14ac:dyDescent="0.15">
      <c r="A85" s="43">
        <f t="shared" si="2"/>
        <v>82</v>
      </c>
      <c r="B85" s="6" t="s">
        <v>453</v>
      </c>
      <c r="C85" s="6" t="s">
        <v>539</v>
      </c>
      <c r="D85" s="26" t="s">
        <v>11</v>
      </c>
      <c r="E85" s="27" t="s">
        <v>540</v>
      </c>
      <c r="F85" s="28" t="s">
        <v>41</v>
      </c>
      <c r="G85" s="28" t="s">
        <v>197</v>
      </c>
      <c r="H85" s="51" t="s">
        <v>543</v>
      </c>
      <c r="I85" s="54" t="s">
        <v>311</v>
      </c>
      <c r="J85" s="44" t="s">
        <v>542</v>
      </c>
      <c r="K85" s="44" t="s">
        <v>542</v>
      </c>
      <c r="L85" s="32" t="s">
        <v>541</v>
      </c>
    </row>
    <row r="86" spans="1:12" ht="39.950000000000003" customHeight="1" x14ac:dyDescent="0.15">
      <c r="A86" s="43">
        <f t="shared" si="2"/>
        <v>83</v>
      </c>
      <c r="B86" s="6" t="s">
        <v>451</v>
      </c>
      <c r="C86" s="6" t="s">
        <v>566</v>
      </c>
      <c r="D86" s="26" t="s">
        <v>177</v>
      </c>
      <c r="E86" s="27" t="s">
        <v>518</v>
      </c>
      <c r="F86" s="28" t="s">
        <v>41</v>
      </c>
      <c r="G86" s="28" t="s">
        <v>86</v>
      </c>
      <c r="H86" s="51" t="s">
        <v>569</v>
      </c>
      <c r="I86" s="54" t="s">
        <v>568</v>
      </c>
      <c r="J86" s="44" t="s">
        <v>570</v>
      </c>
      <c r="K86" s="44" t="s">
        <v>180</v>
      </c>
      <c r="L86" s="47" t="s">
        <v>621</v>
      </c>
    </row>
    <row r="87" spans="1:12" ht="39.950000000000003" customHeight="1" x14ac:dyDescent="0.15">
      <c r="A87" s="43">
        <f t="shared" si="2"/>
        <v>84</v>
      </c>
      <c r="B87" s="25" t="s">
        <v>304</v>
      </c>
      <c r="C87" s="25" t="s">
        <v>305</v>
      </c>
      <c r="D87" s="26" t="s">
        <v>11</v>
      </c>
      <c r="E87" s="27" t="s">
        <v>306</v>
      </c>
      <c r="F87" s="28" t="s">
        <v>41</v>
      </c>
      <c r="G87" s="28" t="s">
        <v>86</v>
      </c>
      <c r="H87" s="29" t="s">
        <v>211</v>
      </c>
      <c r="I87" s="30" t="s">
        <v>311</v>
      </c>
      <c r="J87" s="31" t="s">
        <v>8</v>
      </c>
      <c r="K87" s="31"/>
      <c r="L87" s="32" t="s">
        <v>312</v>
      </c>
    </row>
    <row r="88" spans="1:12" ht="36" customHeight="1" x14ac:dyDescent="0.15">
      <c r="A88" s="43">
        <f t="shared" si="1"/>
        <v>85</v>
      </c>
      <c r="B88" s="25" t="s">
        <v>273</v>
      </c>
      <c r="C88" s="25" t="s">
        <v>274</v>
      </c>
      <c r="D88" s="26" t="s">
        <v>275</v>
      </c>
      <c r="E88" s="27" t="s">
        <v>226</v>
      </c>
      <c r="F88" s="28" t="s">
        <v>41</v>
      </c>
      <c r="G88" s="28" t="s">
        <v>224</v>
      </c>
      <c r="H88" s="29" t="s">
        <v>276</v>
      </c>
      <c r="I88" s="30" t="s">
        <v>277</v>
      </c>
      <c r="J88" s="31" t="s">
        <v>8</v>
      </c>
      <c r="K88" s="31"/>
      <c r="L88" s="32" t="s">
        <v>278</v>
      </c>
    </row>
    <row r="89" spans="1:12" ht="39.950000000000003" customHeight="1" x14ac:dyDescent="0.15">
      <c r="A89" s="43">
        <f t="shared" si="2"/>
        <v>86</v>
      </c>
      <c r="B89" s="61" t="s">
        <v>343</v>
      </c>
      <c r="C89" s="25" t="s">
        <v>344</v>
      </c>
      <c r="D89" s="26" t="s">
        <v>11</v>
      </c>
      <c r="E89" s="28" t="s">
        <v>317</v>
      </c>
      <c r="F89" s="28" t="s">
        <v>41</v>
      </c>
      <c r="G89" s="28" t="s">
        <v>51</v>
      </c>
      <c r="H89" s="29" t="s">
        <v>345</v>
      </c>
      <c r="I89" s="30" t="s">
        <v>347</v>
      </c>
      <c r="J89" s="31" t="s">
        <v>348</v>
      </c>
      <c r="K89" s="31"/>
      <c r="L89" s="34"/>
    </row>
    <row r="90" spans="1:12" ht="39.950000000000003" customHeight="1" x14ac:dyDescent="0.15">
      <c r="A90" s="43">
        <f t="shared" si="2"/>
        <v>87</v>
      </c>
      <c r="B90" s="63"/>
      <c r="C90" s="25" t="s">
        <v>350</v>
      </c>
      <c r="D90" s="26" t="s">
        <v>11</v>
      </c>
      <c r="E90" s="28" t="s">
        <v>349</v>
      </c>
      <c r="F90" s="28" t="s">
        <v>41</v>
      </c>
      <c r="G90" s="28" t="s">
        <v>197</v>
      </c>
      <c r="H90" s="29" t="s">
        <v>351</v>
      </c>
      <c r="I90" s="30" t="s">
        <v>346</v>
      </c>
      <c r="J90" s="31" t="s">
        <v>352</v>
      </c>
      <c r="K90" s="31"/>
      <c r="L90" s="34"/>
    </row>
    <row r="91" spans="1:12" ht="39.950000000000003" customHeight="1" x14ac:dyDescent="0.15">
      <c r="A91" s="43">
        <f t="shared" si="2"/>
        <v>88</v>
      </c>
      <c r="B91" s="61" t="s">
        <v>313</v>
      </c>
      <c r="C91" s="25" t="s">
        <v>107</v>
      </c>
      <c r="D91" s="26" t="s">
        <v>11</v>
      </c>
      <c r="E91" s="64" t="s">
        <v>354</v>
      </c>
      <c r="F91" s="28" t="s">
        <v>41</v>
      </c>
      <c r="G91" s="28" t="s">
        <v>132</v>
      </c>
      <c r="H91" s="29" t="s">
        <v>279</v>
      </c>
      <c r="I91" s="30" t="s">
        <v>108</v>
      </c>
      <c r="J91" s="31" t="s">
        <v>109</v>
      </c>
      <c r="K91" s="44" t="s">
        <v>253</v>
      </c>
      <c r="L91" s="48" t="s">
        <v>357</v>
      </c>
    </row>
    <row r="92" spans="1:12" ht="39.950000000000003" customHeight="1" x14ac:dyDescent="0.15">
      <c r="A92" s="43">
        <f t="shared" si="2"/>
        <v>89</v>
      </c>
      <c r="B92" s="62"/>
      <c r="C92" s="25" t="s">
        <v>355</v>
      </c>
      <c r="D92" s="26" t="s">
        <v>316</v>
      </c>
      <c r="E92" s="65"/>
      <c r="F92" s="28" t="s">
        <v>41</v>
      </c>
      <c r="G92" s="28" t="s">
        <v>125</v>
      </c>
      <c r="H92" s="29" t="s">
        <v>154</v>
      </c>
      <c r="I92" s="30" t="s">
        <v>108</v>
      </c>
      <c r="J92" s="31" t="s">
        <v>109</v>
      </c>
      <c r="K92" s="31" t="s">
        <v>359</v>
      </c>
      <c r="L92" s="34" t="s">
        <v>356</v>
      </c>
    </row>
    <row r="93" spans="1:12" ht="39.950000000000003" customHeight="1" x14ac:dyDescent="0.15">
      <c r="A93" s="43">
        <f t="shared" si="2"/>
        <v>90</v>
      </c>
      <c r="B93" s="62"/>
      <c r="C93" s="6" t="s">
        <v>615</v>
      </c>
      <c r="D93" s="26" t="s">
        <v>12</v>
      </c>
      <c r="E93" s="65"/>
      <c r="F93" s="28" t="s">
        <v>41</v>
      </c>
      <c r="G93" s="28" t="s">
        <v>125</v>
      </c>
      <c r="H93" s="29" t="s">
        <v>154</v>
      </c>
      <c r="I93" s="30" t="s">
        <v>108</v>
      </c>
      <c r="J93" s="31" t="s">
        <v>109</v>
      </c>
      <c r="K93" s="31" t="s">
        <v>359</v>
      </c>
      <c r="L93" s="48" t="s">
        <v>616</v>
      </c>
    </row>
    <row r="94" spans="1:12" ht="39.950000000000003" customHeight="1" x14ac:dyDescent="0.15">
      <c r="A94" s="43">
        <f t="shared" si="2"/>
        <v>91</v>
      </c>
      <c r="B94" s="62"/>
      <c r="C94" s="25" t="s">
        <v>361</v>
      </c>
      <c r="D94" s="26" t="s">
        <v>12</v>
      </c>
      <c r="E94" s="65"/>
      <c r="F94" s="28" t="s">
        <v>41</v>
      </c>
      <c r="G94" s="28" t="s">
        <v>132</v>
      </c>
      <c r="H94" s="29" t="s">
        <v>318</v>
      </c>
      <c r="I94" s="30" t="s">
        <v>108</v>
      </c>
      <c r="J94" s="31" t="s">
        <v>109</v>
      </c>
      <c r="K94" s="31" t="s">
        <v>358</v>
      </c>
      <c r="L94" s="34" t="s">
        <v>366</v>
      </c>
    </row>
    <row r="95" spans="1:12" ht="39.950000000000003" customHeight="1" x14ac:dyDescent="0.15">
      <c r="A95" s="43">
        <f t="shared" si="2"/>
        <v>92</v>
      </c>
      <c r="B95" s="62"/>
      <c r="C95" s="25" t="s">
        <v>360</v>
      </c>
      <c r="D95" s="26" t="s">
        <v>12</v>
      </c>
      <c r="E95" s="65"/>
      <c r="F95" s="28" t="s">
        <v>41</v>
      </c>
      <c r="G95" s="28" t="s">
        <v>51</v>
      </c>
      <c r="H95" s="29" t="s">
        <v>318</v>
      </c>
      <c r="I95" s="30" t="s">
        <v>108</v>
      </c>
      <c r="J95" s="31" t="s">
        <v>109</v>
      </c>
      <c r="K95" s="31" t="s">
        <v>358</v>
      </c>
      <c r="L95" s="34" t="s">
        <v>365</v>
      </c>
    </row>
    <row r="96" spans="1:12" ht="39.950000000000003" customHeight="1" x14ac:dyDescent="0.15">
      <c r="A96" s="43">
        <f t="shared" si="2"/>
        <v>93</v>
      </c>
      <c r="B96" s="62"/>
      <c r="C96" s="25" t="s">
        <v>362</v>
      </c>
      <c r="D96" s="26" t="s">
        <v>12</v>
      </c>
      <c r="E96" s="65"/>
      <c r="F96" s="28" t="s">
        <v>41</v>
      </c>
      <c r="G96" s="28" t="s">
        <v>51</v>
      </c>
      <c r="H96" s="29" t="s">
        <v>363</v>
      </c>
      <c r="I96" s="30" t="s">
        <v>108</v>
      </c>
      <c r="J96" s="31" t="s">
        <v>109</v>
      </c>
      <c r="K96" s="31" t="s">
        <v>358</v>
      </c>
      <c r="L96" s="34" t="s">
        <v>364</v>
      </c>
    </row>
    <row r="97" spans="1:12" ht="39.950000000000003" customHeight="1" x14ac:dyDescent="0.15">
      <c r="A97" s="43">
        <f t="shared" si="2"/>
        <v>94</v>
      </c>
      <c r="B97" s="62"/>
      <c r="C97" s="6" t="s">
        <v>617</v>
      </c>
      <c r="D97" s="26" t="s">
        <v>12</v>
      </c>
      <c r="E97" s="65"/>
      <c r="F97" s="28" t="s">
        <v>41</v>
      </c>
      <c r="G97" s="28" t="s">
        <v>51</v>
      </c>
      <c r="H97" s="29" t="s">
        <v>338</v>
      </c>
      <c r="I97" s="30" t="s">
        <v>108</v>
      </c>
      <c r="J97" s="31" t="s">
        <v>109</v>
      </c>
      <c r="K97" s="31" t="s">
        <v>253</v>
      </c>
      <c r="L97" s="48" t="s">
        <v>618</v>
      </c>
    </row>
    <row r="98" spans="1:12" ht="39.950000000000003" customHeight="1" x14ac:dyDescent="0.15">
      <c r="A98" s="43">
        <f t="shared" si="2"/>
        <v>95</v>
      </c>
      <c r="B98" s="63"/>
      <c r="C98" s="6" t="s">
        <v>619</v>
      </c>
      <c r="D98" s="26" t="s">
        <v>12</v>
      </c>
      <c r="E98" s="66"/>
      <c r="F98" s="28" t="s">
        <v>41</v>
      </c>
      <c r="G98" s="28" t="s">
        <v>51</v>
      </c>
      <c r="H98" s="29" t="s">
        <v>338</v>
      </c>
      <c r="I98" s="30" t="s">
        <v>108</v>
      </c>
      <c r="J98" s="31" t="s">
        <v>109</v>
      </c>
      <c r="K98" s="31" t="s">
        <v>253</v>
      </c>
      <c r="L98" s="48" t="s">
        <v>618</v>
      </c>
    </row>
    <row r="99" spans="1:12" ht="39.950000000000003" customHeight="1" x14ac:dyDescent="0.15">
      <c r="A99" s="43">
        <f t="shared" si="2"/>
        <v>96</v>
      </c>
      <c r="B99" s="53" t="s">
        <v>423</v>
      </c>
      <c r="C99" s="6" t="s">
        <v>585</v>
      </c>
      <c r="D99" s="26" t="s">
        <v>13</v>
      </c>
      <c r="E99" s="28" t="s">
        <v>353</v>
      </c>
      <c r="F99" s="28" t="s">
        <v>41</v>
      </c>
      <c r="G99" s="28" t="s">
        <v>51</v>
      </c>
      <c r="H99" s="51" t="s">
        <v>424</v>
      </c>
      <c r="I99" s="30" t="s">
        <v>108</v>
      </c>
      <c r="J99" s="44" t="s">
        <v>100</v>
      </c>
      <c r="K99" s="44" t="s">
        <v>425</v>
      </c>
      <c r="L99" s="48" t="s">
        <v>426</v>
      </c>
    </row>
    <row r="100" spans="1:12" ht="39.950000000000003" customHeight="1" x14ac:dyDescent="0.15">
      <c r="A100" s="60">
        <f t="shared" si="2"/>
        <v>97</v>
      </c>
      <c r="B100" s="7" t="s">
        <v>624</v>
      </c>
      <c r="C100" s="7" t="s">
        <v>622</v>
      </c>
      <c r="D100" s="58" t="s">
        <v>642</v>
      </c>
      <c r="E100" s="20" t="s">
        <v>623</v>
      </c>
      <c r="F100" s="28" t="s">
        <v>41</v>
      </c>
      <c r="G100" s="28" t="s">
        <v>224</v>
      </c>
      <c r="H100" s="56" t="s">
        <v>625</v>
      </c>
      <c r="I100" s="55" t="s">
        <v>626</v>
      </c>
      <c r="J100" s="45" t="s">
        <v>8</v>
      </c>
      <c r="K100" s="45"/>
      <c r="L100" s="52" t="s">
        <v>627</v>
      </c>
    </row>
    <row r="101" spans="1:12" ht="39.950000000000003" customHeight="1" x14ac:dyDescent="0.15">
      <c r="A101" s="60">
        <f t="shared" si="2"/>
        <v>98</v>
      </c>
      <c r="B101" s="7" t="s">
        <v>463</v>
      </c>
      <c r="C101" s="7" t="s">
        <v>607</v>
      </c>
      <c r="D101" s="26" t="s">
        <v>11</v>
      </c>
      <c r="E101" s="20" t="s">
        <v>464</v>
      </c>
      <c r="F101" s="28" t="s">
        <v>41</v>
      </c>
      <c r="G101" s="28" t="s">
        <v>197</v>
      </c>
      <c r="H101" s="21" t="s">
        <v>133</v>
      </c>
      <c r="I101" s="55" t="s">
        <v>479</v>
      </c>
      <c r="J101" s="45" t="s">
        <v>481</v>
      </c>
      <c r="K101" s="45" t="s">
        <v>480</v>
      </c>
      <c r="L101" s="52" t="s">
        <v>482</v>
      </c>
    </row>
    <row r="102" spans="1:12" ht="39.950000000000003" customHeight="1" x14ac:dyDescent="0.15">
      <c r="A102" s="43">
        <f t="shared" si="2"/>
        <v>99</v>
      </c>
      <c r="B102" s="7" t="s">
        <v>175</v>
      </c>
      <c r="C102" s="19" t="s">
        <v>176</v>
      </c>
      <c r="D102" s="26" t="s">
        <v>177</v>
      </c>
      <c r="E102" s="20" t="s">
        <v>178</v>
      </c>
      <c r="F102" s="28" t="s">
        <v>41</v>
      </c>
      <c r="G102" s="28" t="s">
        <v>125</v>
      </c>
      <c r="H102" s="21" t="s">
        <v>133</v>
      </c>
      <c r="I102" s="22" t="s">
        <v>179</v>
      </c>
      <c r="J102" s="18" t="s">
        <v>96</v>
      </c>
      <c r="K102" s="18" t="s">
        <v>180</v>
      </c>
      <c r="L102" s="37" t="s">
        <v>327</v>
      </c>
    </row>
    <row r="103" spans="1:12" ht="39.950000000000003" customHeight="1" x14ac:dyDescent="0.15">
      <c r="A103" s="43">
        <f t="shared" si="2"/>
        <v>100</v>
      </c>
      <c r="B103" s="7" t="s">
        <v>441</v>
      </c>
      <c r="C103" s="6" t="s">
        <v>544</v>
      </c>
      <c r="D103" s="58" t="s">
        <v>177</v>
      </c>
      <c r="E103" s="59" t="s">
        <v>608</v>
      </c>
      <c r="F103" s="5" t="s">
        <v>41</v>
      </c>
      <c r="G103" s="5" t="s">
        <v>224</v>
      </c>
      <c r="H103" s="51" t="s">
        <v>504</v>
      </c>
      <c r="I103" s="54" t="s">
        <v>586</v>
      </c>
      <c r="J103" s="44" t="s">
        <v>180</v>
      </c>
      <c r="K103" s="44"/>
      <c r="L103" s="47" t="s">
        <v>545</v>
      </c>
    </row>
    <row r="104" spans="1:12" ht="39.950000000000003" customHeight="1" x14ac:dyDescent="0.15">
      <c r="A104" s="43">
        <f t="shared" si="2"/>
        <v>101</v>
      </c>
      <c r="B104" s="71" t="s">
        <v>88</v>
      </c>
      <c r="C104" s="7" t="s">
        <v>420</v>
      </c>
      <c r="D104" s="26" t="s">
        <v>22</v>
      </c>
      <c r="E104" s="20" t="s">
        <v>60</v>
      </c>
      <c r="F104" s="28" t="s">
        <v>41</v>
      </c>
      <c r="G104" s="28" t="s">
        <v>130</v>
      </c>
      <c r="H104" s="21" t="s">
        <v>105</v>
      </c>
      <c r="I104" s="22" t="s">
        <v>104</v>
      </c>
      <c r="J104" s="18" t="s">
        <v>8</v>
      </c>
      <c r="K104" s="18" t="s">
        <v>84</v>
      </c>
      <c r="L104" s="37" t="s">
        <v>325</v>
      </c>
    </row>
    <row r="105" spans="1:12" ht="39.950000000000003" customHeight="1" x14ac:dyDescent="0.15">
      <c r="A105" s="43">
        <f t="shared" si="2"/>
        <v>102</v>
      </c>
      <c r="B105" s="72"/>
      <c r="C105" s="7" t="s">
        <v>421</v>
      </c>
      <c r="D105" s="26" t="s">
        <v>22</v>
      </c>
      <c r="E105" s="20" t="s">
        <v>60</v>
      </c>
      <c r="F105" s="28" t="s">
        <v>41</v>
      </c>
      <c r="G105" s="28" t="s">
        <v>130</v>
      </c>
      <c r="H105" s="21" t="s">
        <v>105</v>
      </c>
      <c r="I105" s="22" t="s">
        <v>104</v>
      </c>
      <c r="J105" s="18" t="s">
        <v>8</v>
      </c>
      <c r="K105" s="18" t="s">
        <v>84</v>
      </c>
      <c r="L105" s="52" t="s">
        <v>422</v>
      </c>
    </row>
    <row r="106" spans="1:12" ht="39.950000000000003" customHeight="1" x14ac:dyDescent="0.15">
      <c r="A106" s="43">
        <f t="shared" si="2"/>
        <v>103</v>
      </c>
      <c r="B106" s="25" t="s">
        <v>228</v>
      </c>
      <c r="C106" s="25" t="s">
        <v>229</v>
      </c>
      <c r="D106" s="26" t="s">
        <v>24</v>
      </c>
      <c r="E106" s="27" t="s">
        <v>226</v>
      </c>
      <c r="F106" s="28" t="s">
        <v>230</v>
      </c>
      <c r="G106" s="28" t="s">
        <v>220</v>
      </c>
      <c r="H106" s="29" t="s">
        <v>133</v>
      </c>
      <c r="I106" s="22" t="s">
        <v>104</v>
      </c>
      <c r="J106" s="31" t="s">
        <v>8</v>
      </c>
      <c r="K106" s="31"/>
      <c r="L106" s="32" t="s">
        <v>231</v>
      </c>
    </row>
    <row r="107" spans="1:12" ht="39.950000000000003" customHeight="1" x14ac:dyDescent="0.15">
      <c r="A107" s="43">
        <f t="shared" si="2"/>
        <v>104</v>
      </c>
      <c r="B107" s="6" t="s">
        <v>630</v>
      </c>
      <c r="C107" s="6" t="s">
        <v>628</v>
      </c>
      <c r="D107" s="26" t="s">
        <v>631</v>
      </c>
      <c r="E107" s="27" t="s">
        <v>226</v>
      </c>
      <c r="F107" s="28" t="s">
        <v>41</v>
      </c>
      <c r="G107" s="28" t="s">
        <v>51</v>
      </c>
      <c r="H107" s="51" t="s">
        <v>424</v>
      </c>
      <c r="I107" s="55" t="s">
        <v>146</v>
      </c>
      <c r="J107" s="31" t="s">
        <v>8</v>
      </c>
      <c r="K107" s="31" t="s">
        <v>8</v>
      </c>
      <c r="L107" s="47" t="s">
        <v>629</v>
      </c>
    </row>
    <row r="108" spans="1:12" ht="39.950000000000003" customHeight="1" x14ac:dyDescent="0.15">
      <c r="A108" s="43">
        <f t="shared" si="2"/>
        <v>105</v>
      </c>
      <c r="B108" s="25" t="s">
        <v>119</v>
      </c>
      <c r="C108" s="25" t="s">
        <v>120</v>
      </c>
      <c r="D108" s="26" t="s">
        <v>13</v>
      </c>
      <c r="E108" s="27" t="s">
        <v>59</v>
      </c>
      <c r="F108" s="28" t="s">
        <v>198</v>
      </c>
      <c r="G108" s="28" t="s">
        <v>197</v>
      </c>
      <c r="H108" s="29" t="s">
        <v>121</v>
      </c>
      <c r="I108" s="30" t="s">
        <v>122</v>
      </c>
      <c r="J108" s="31" t="s">
        <v>123</v>
      </c>
      <c r="K108" s="31" t="s">
        <v>124</v>
      </c>
      <c r="L108" s="32" t="s">
        <v>326</v>
      </c>
    </row>
  </sheetData>
  <dataConsolidate/>
  <mergeCells count="15">
    <mergeCell ref="B54:B55"/>
    <mergeCell ref="B34:B35"/>
    <mergeCell ref="B70:B72"/>
    <mergeCell ref="B89:B90"/>
    <mergeCell ref="A1:L1"/>
    <mergeCell ref="A2:B2"/>
    <mergeCell ref="B9:B11"/>
    <mergeCell ref="B36:B37"/>
    <mergeCell ref="B46:B47"/>
    <mergeCell ref="B12:B13"/>
    <mergeCell ref="B91:B98"/>
    <mergeCell ref="E91:E98"/>
    <mergeCell ref="C65:C66"/>
    <mergeCell ref="B65:B66"/>
    <mergeCell ref="B104:B105"/>
  </mergeCells>
  <phoneticPr fontId="1" type="noConversion"/>
  <pageMargins left="0.7" right="0.7" top="0.75" bottom="0.75" header="0.3" footer="0.3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dictionary!$D$2:$D$16</xm:f>
          </x14:formula1>
          <xm:sqref>G104:G108 G39:G52 G54:G57 G59:G63 G65:G102 G4:G37</xm:sqref>
        </x14:dataValidation>
        <x14:dataValidation type="list" allowBlank="1" showInputMessage="1" showErrorMessage="1">
          <x14:formula1>
            <xm:f>dictionary!$A$2:$A$18</xm:f>
          </x14:formula1>
          <xm:sqref>D4:D5 D68:D77 D54:D61 D33:D40 D52 D23:D29 D18:D20 D46:D50 D7:D16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dictionary!$D$2:$D$21</xm:f>
          </x14:formula1>
          <xm:sqref>G38</xm:sqref>
        </x14:dataValidation>
        <x14:dataValidation type="list" allowBlank="1" showInputMessage="1" showErrorMessage="1">
          <x14:formula1>
            <xm:f>dictionary!$A$2:$A$20</xm:f>
          </x14:formula1>
          <xm:sqref>D30:D31</xm:sqref>
        </x14:dataValidation>
        <x14:dataValidation type="list" allowBlank="1" showInputMessage="1" showErrorMessage="1">
          <x14:formula1>
            <xm:f>dictionary!$A$2:$A$21</xm:f>
          </x14:formula1>
          <xm:sqref>D6 D78:D102 D17 D41:D45 D104:D106 D108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dictionary!$C$2:$C$6</xm:f>
          </x14:formula1>
          <xm:sqref>F104:F108 F54:F57 F59:F62 F68:F83 F85:F102 F4:F52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'E:\program\Project-Process-library\Projects Tracking\[project-status-tracking - 20171010.xlsm]dictionary'!#REF!</xm:f>
          </x14:formula1>
          <xm:sqref>F53 F58 F103 F84 F63:F67</xm:sqref>
        </x14:dataValidation>
        <x14:dataValidation type="list" allowBlank="1" showInputMessage="1" showErrorMessage="1">
          <x14:formula1>
            <xm:f>'E:\program\Project-Process-library\Projects Tracking\[project-status-tracking - 20171010.xlsm]dictionary'!#REF!</xm:f>
          </x14:formula1>
          <xm:sqref>D53 D103 E84 D63:D67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'E:\program\Project-Process-library\Projects Tracking\[project-status-tracking - 20171010.xlsm]dictionary'!#REF!</xm:f>
          </x14:formula1>
          <xm:sqref>G53 G58 G103 G64</xm:sqref>
        </x14:dataValidation>
        <x14:dataValidation type="list" allowBlank="1" showInputMessage="1" showErrorMessage="1">
          <x14:formula1>
            <xm:f>dictionary!$A$2:$A$22</xm:f>
          </x14:formula1>
          <xm:sqref>D21:D22 D32 D51</xm:sqref>
        </x14:dataValidation>
        <x14:dataValidation type="list" allowBlank="1" showInputMessage="1" showErrorMessage="1">
          <x14:formula1>
            <xm:f>dictionary!$A$2:$A$24</xm:f>
          </x14:formula1>
          <xm:sqref>D107 D62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0" sqref="D40"/>
    </sheetView>
  </sheetViews>
  <sheetFormatPr defaultRowHeight="13.5" x14ac:dyDescent="0.15"/>
  <cols>
    <col min="1" max="1" width="9" customWidth="1"/>
  </cols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9"/>
  <sheetViews>
    <sheetView topLeftCell="A11" workbookViewId="0">
      <selection activeCell="B25" sqref="B25"/>
    </sheetView>
  </sheetViews>
  <sheetFormatPr defaultRowHeight="13.5" x14ac:dyDescent="0.15"/>
  <cols>
    <col min="1" max="1" width="18.5" bestFit="1" customWidth="1"/>
    <col min="2" max="2" width="33.875" customWidth="1"/>
    <col min="3" max="3" width="12.375" customWidth="1"/>
    <col min="4" max="4" width="20.75" customWidth="1"/>
  </cols>
  <sheetData>
    <row r="1" spans="1:4" ht="15" x14ac:dyDescent="0.2">
      <c r="A1" s="4" t="s">
        <v>10</v>
      </c>
      <c r="B1" t="s">
        <v>28</v>
      </c>
      <c r="C1" t="s">
        <v>39</v>
      </c>
      <c r="D1" t="s">
        <v>40</v>
      </c>
    </row>
    <row r="2" spans="1:4" x14ac:dyDescent="0.15">
      <c r="A2" t="s">
        <v>12</v>
      </c>
      <c r="B2" t="s">
        <v>29</v>
      </c>
      <c r="C2" t="s">
        <v>42</v>
      </c>
      <c r="D2" t="s">
        <v>44</v>
      </c>
    </row>
    <row r="3" spans="1:4" x14ac:dyDescent="0.15">
      <c r="A3" t="s">
        <v>26</v>
      </c>
      <c r="B3" t="s">
        <v>30</v>
      </c>
      <c r="C3" t="s">
        <v>57</v>
      </c>
      <c r="D3" t="s">
        <v>45</v>
      </c>
    </row>
    <row r="4" spans="1:4" x14ac:dyDescent="0.15">
      <c r="A4" t="s">
        <v>14</v>
      </c>
      <c r="B4" t="s">
        <v>31</v>
      </c>
      <c r="C4" t="s">
        <v>43</v>
      </c>
      <c r="D4" t="s">
        <v>46</v>
      </c>
    </row>
    <row r="5" spans="1:4" x14ac:dyDescent="0.15">
      <c r="A5" t="s">
        <v>15</v>
      </c>
      <c r="B5" t="s">
        <v>32</v>
      </c>
      <c r="C5" t="s">
        <v>58</v>
      </c>
      <c r="D5" t="s">
        <v>47</v>
      </c>
    </row>
    <row r="6" spans="1:4" x14ac:dyDescent="0.15">
      <c r="A6" t="s">
        <v>16</v>
      </c>
      <c r="B6" t="s">
        <v>33</v>
      </c>
      <c r="C6" t="s">
        <v>83</v>
      </c>
      <c r="D6" t="s">
        <v>48</v>
      </c>
    </row>
    <row r="7" spans="1:4" x14ac:dyDescent="0.15">
      <c r="A7" t="s">
        <v>27</v>
      </c>
      <c r="B7" t="s">
        <v>34</v>
      </c>
      <c r="D7" t="s">
        <v>49</v>
      </c>
    </row>
    <row r="8" spans="1:4" x14ac:dyDescent="0.15">
      <c r="A8" t="s">
        <v>17</v>
      </c>
      <c r="B8" t="s">
        <v>36</v>
      </c>
      <c r="D8" t="s">
        <v>50</v>
      </c>
    </row>
    <row r="9" spans="1:4" x14ac:dyDescent="0.15">
      <c r="A9" t="s">
        <v>18</v>
      </c>
      <c r="B9" t="s">
        <v>35</v>
      </c>
      <c r="D9" t="s">
        <v>52</v>
      </c>
    </row>
    <row r="10" spans="1:4" x14ac:dyDescent="0.15">
      <c r="A10" t="s">
        <v>19</v>
      </c>
      <c r="B10" t="s">
        <v>37</v>
      </c>
      <c r="D10" t="s">
        <v>53</v>
      </c>
    </row>
    <row r="11" spans="1:4" x14ac:dyDescent="0.15">
      <c r="A11" t="s">
        <v>21</v>
      </c>
      <c r="B11" t="s">
        <v>38</v>
      </c>
      <c r="D11" t="s">
        <v>54</v>
      </c>
    </row>
    <row r="12" spans="1:4" x14ac:dyDescent="0.15">
      <c r="A12" t="s">
        <v>23</v>
      </c>
      <c r="B12" t="s">
        <v>66</v>
      </c>
      <c r="D12" t="s">
        <v>55</v>
      </c>
    </row>
    <row r="13" spans="1:4" x14ac:dyDescent="0.15">
      <c r="A13" t="s">
        <v>25</v>
      </c>
      <c r="B13" t="s">
        <v>67</v>
      </c>
      <c r="D13" t="s">
        <v>56</v>
      </c>
    </row>
    <row r="14" spans="1:4" x14ac:dyDescent="0.15">
      <c r="A14" t="s">
        <v>65</v>
      </c>
      <c r="B14" t="s">
        <v>68</v>
      </c>
      <c r="D14" t="s">
        <v>126</v>
      </c>
    </row>
    <row r="15" spans="1:4" x14ac:dyDescent="0.15">
      <c r="A15" t="s">
        <v>81</v>
      </c>
      <c r="B15" t="s">
        <v>69</v>
      </c>
      <c r="D15" t="s">
        <v>127</v>
      </c>
    </row>
    <row r="16" spans="1:4" x14ac:dyDescent="0.15">
      <c r="A16" t="s">
        <v>82</v>
      </c>
      <c r="B16" t="s">
        <v>70</v>
      </c>
      <c r="D16" t="s">
        <v>128</v>
      </c>
    </row>
    <row r="17" spans="1:4" x14ac:dyDescent="0.15">
      <c r="A17" t="s">
        <v>95</v>
      </c>
      <c r="B17" t="s">
        <v>71</v>
      </c>
      <c r="D17" t="s">
        <v>129</v>
      </c>
    </row>
    <row r="18" spans="1:4" x14ac:dyDescent="0.15">
      <c r="A18" t="s">
        <v>138</v>
      </c>
      <c r="B18" t="s">
        <v>72</v>
      </c>
      <c r="D18" t="s">
        <v>169</v>
      </c>
    </row>
    <row r="19" spans="1:4" x14ac:dyDescent="0.15">
      <c r="A19" t="s">
        <v>139</v>
      </c>
      <c r="B19" t="s">
        <v>73</v>
      </c>
      <c r="D19" t="s">
        <v>172</v>
      </c>
    </row>
    <row r="20" spans="1:4" x14ac:dyDescent="0.15">
      <c r="A20" t="s">
        <v>209</v>
      </c>
      <c r="B20" t="s">
        <v>77</v>
      </c>
      <c r="D20" t="s">
        <v>170</v>
      </c>
    </row>
    <row r="21" spans="1:4" x14ac:dyDescent="0.15">
      <c r="A21" t="s">
        <v>218</v>
      </c>
      <c r="B21" t="s">
        <v>78</v>
      </c>
      <c r="D21" t="s">
        <v>173</v>
      </c>
    </row>
    <row r="22" spans="1:4" x14ac:dyDescent="0.15">
      <c r="A22" t="s">
        <v>589</v>
      </c>
      <c r="B22" t="s">
        <v>79</v>
      </c>
    </row>
    <row r="23" spans="1:4" x14ac:dyDescent="0.15">
      <c r="A23" t="s">
        <v>603</v>
      </c>
      <c r="B23" t="s">
        <v>80</v>
      </c>
    </row>
    <row r="24" spans="1:4" x14ac:dyDescent="0.15">
      <c r="A24" t="s">
        <v>632</v>
      </c>
      <c r="B24" t="s">
        <v>464</v>
      </c>
    </row>
    <row r="25" spans="1:4" x14ac:dyDescent="0.15">
      <c r="B25" t="s">
        <v>465</v>
      </c>
    </row>
    <row r="26" spans="1:4" x14ac:dyDescent="0.15">
      <c r="B26" t="s">
        <v>466</v>
      </c>
    </row>
    <row r="27" spans="1:4" x14ac:dyDescent="0.15">
      <c r="B27" t="s">
        <v>467</v>
      </c>
    </row>
    <row r="28" spans="1:4" x14ac:dyDescent="0.15">
      <c r="B28" t="s">
        <v>468</v>
      </c>
    </row>
    <row r="29" spans="1:4" x14ac:dyDescent="0.15">
      <c r="B29" t="s">
        <v>469</v>
      </c>
    </row>
    <row r="30" spans="1:4" x14ac:dyDescent="0.15">
      <c r="B30" t="s">
        <v>470</v>
      </c>
    </row>
    <row r="31" spans="1:4" x14ac:dyDescent="0.15">
      <c r="B31" t="s">
        <v>471</v>
      </c>
    </row>
    <row r="32" spans="1:4" x14ac:dyDescent="0.15">
      <c r="B32" t="s">
        <v>472</v>
      </c>
    </row>
    <row r="33" spans="2:2" x14ac:dyDescent="0.15">
      <c r="B33" t="s">
        <v>473</v>
      </c>
    </row>
    <row r="34" spans="2:2" x14ac:dyDescent="0.15">
      <c r="B34" t="s">
        <v>474</v>
      </c>
    </row>
    <row r="35" spans="2:2" x14ac:dyDescent="0.15">
      <c r="B35" t="s">
        <v>475</v>
      </c>
    </row>
    <row r="36" spans="2:2" x14ac:dyDescent="0.15">
      <c r="B36" t="s">
        <v>476</v>
      </c>
    </row>
    <row r="37" spans="2:2" x14ac:dyDescent="0.15">
      <c r="B37" t="s">
        <v>477</v>
      </c>
    </row>
    <row r="38" spans="2:2" x14ac:dyDescent="0.15">
      <c r="B38" t="s">
        <v>478</v>
      </c>
    </row>
    <row r="39" spans="2:2" x14ac:dyDescent="0.15">
      <c r="B39" t="s">
        <v>597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1"/>
  <sheetViews>
    <sheetView topLeftCell="A16" workbookViewId="0">
      <selection activeCell="A2" sqref="A2"/>
    </sheetView>
  </sheetViews>
  <sheetFormatPr defaultRowHeight="13.5" x14ac:dyDescent="0.15"/>
  <cols>
    <col min="1" max="1" width="9" customWidth="1"/>
    <col min="2" max="7" width="24.625" customWidth="1"/>
  </cols>
  <sheetData>
    <row r="1" spans="1:7" ht="39.950000000000003" customHeight="1" x14ac:dyDescent="0.15">
      <c r="A1" s="78" t="s">
        <v>272</v>
      </c>
      <c r="B1" s="78"/>
      <c r="C1" s="78"/>
      <c r="D1" s="78"/>
      <c r="E1" s="78"/>
      <c r="F1" s="78"/>
      <c r="G1" s="78"/>
    </row>
    <row r="2" spans="1:7" ht="39.950000000000003" customHeight="1" x14ac:dyDescent="0.15">
      <c r="A2" s="10" t="s">
        <v>242</v>
      </c>
      <c r="B2" s="10" t="s">
        <v>243</v>
      </c>
      <c r="C2" s="10" t="s">
        <v>61</v>
      </c>
      <c r="D2" s="10" t="s">
        <v>244</v>
      </c>
      <c r="E2" s="10" t="s">
        <v>246</v>
      </c>
      <c r="F2" s="10" t="s">
        <v>245</v>
      </c>
      <c r="G2" s="10" t="s">
        <v>264</v>
      </c>
    </row>
    <row r="3" spans="1:7" s="9" customFormat="1" ht="55.5" customHeight="1" x14ac:dyDescent="0.15">
      <c r="A3" s="2">
        <v>2</v>
      </c>
      <c r="B3" s="7" t="s">
        <v>155</v>
      </c>
      <c r="C3" s="7" t="s">
        <v>156</v>
      </c>
      <c r="D3" s="8" t="s">
        <v>247</v>
      </c>
      <c r="E3" s="8" t="s">
        <v>254</v>
      </c>
      <c r="F3" s="8" t="s">
        <v>263</v>
      </c>
      <c r="G3" s="8" t="s">
        <v>269</v>
      </c>
    </row>
    <row r="4" spans="1:7" s="9" customFormat="1" ht="60.75" customHeight="1" x14ac:dyDescent="0.15">
      <c r="A4" s="2">
        <v>3</v>
      </c>
      <c r="B4" s="7" t="s">
        <v>187</v>
      </c>
      <c r="C4" s="7" t="s">
        <v>188</v>
      </c>
      <c r="D4" s="8" t="s">
        <v>248</v>
      </c>
      <c r="E4" s="8" t="s">
        <v>254</v>
      </c>
      <c r="F4" s="8" t="s">
        <v>261</v>
      </c>
      <c r="G4" s="8" t="s">
        <v>269</v>
      </c>
    </row>
    <row r="5" spans="1:7" s="1" customFormat="1" ht="39.950000000000003" customHeight="1" x14ac:dyDescent="0.15">
      <c r="A5" s="2">
        <v>23</v>
      </c>
      <c r="B5" s="6" t="s">
        <v>206</v>
      </c>
      <c r="C5" s="6" t="s">
        <v>207</v>
      </c>
      <c r="D5" s="8" t="s">
        <v>249</v>
      </c>
      <c r="E5" s="8" t="s">
        <v>255</v>
      </c>
      <c r="F5" s="8" t="s">
        <v>262</v>
      </c>
      <c r="G5" s="8"/>
    </row>
    <row r="6" spans="1:7" s="1" customFormat="1" ht="39.950000000000003" customHeight="1" x14ac:dyDescent="0.15">
      <c r="A6" s="2">
        <v>9</v>
      </c>
      <c r="B6" s="6" t="s">
        <v>239</v>
      </c>
      <c r="C6" s="6" t="s">
        <v>115</v>
      </c>
      <c r="D6" s="8" t="s">
        <v>180</v>
      </c>
      <c r="E6" s="8" t="s">
        <v>256</v>
      </c>
      <c r="F6" s="8" t="s">
        <v>265</v>
      </c>
      <c r="G6" s="8"/>
    </row>
    <row r="7" spans="1:7" s="1" customFormat="1" ht="39.950000000000003" customHeight="1" x14ac:dyDescent="0.15">
      <c r="A7" s="2">
        <v>10</v>
      </c>
      <c r="B7" s="69" t="s">
        <v>167</v>
      </c>
      <c r="C7" s="6" t="s">
        <v>168</v>
      </c>
      <c r="D7" s="8" t="s">
        <v>250</v>
      </c>
      <c r="E7" s="5" t="s">
        <v>257</v>
      </c>
      <c r="F7" s="8" t="s">
        <v>265</v>
      </c>
      <c r="G7" s="8"/>
    </row>
    <row r="8" spans="1:7" s="1" customFormat="1" ht="39.950000000000003" customHeight="1" x14ac:dyDescent="0.15">
      <c r="A8" s="2">
        <v>11</v>
      </c>
      <c r="B8" s="70"/>
      <c r="C8" s="6" t="s">
        <v>174</v>
      </c>
      <c r="D8" s="8" t="s">
        <v>249</v>
      </c>
      <c r="E8" s="5" t="s">
        <v>258</v>
      </c>
      <c r="F8" s="8" t="s">
        <v>265</v>
      </c>
      <c r="G8" s="8"/>
    </row>
    <row r="9" spans="1:7" s="1" customFormat="1" ht="66" customHeight="1" x14ac:dyDescent="0.15">
      <c r="A9" s="2">
        <v>13</v>
      </c>
      <c r="B9" s="6" t="s">
        <v>152</v>
      </c>
      <c r="C9" s="6" t="s">
        <v>153</v>
      </c>
      <c r="D9" s="8" t="s">
        <v>251</v>
      </c>
      <c r="E9" s="5"/>
      <c r="F9" s="8" t="s">
        <v>266</v>
      </c>
      <c r="G9" s="8" t="s">
        <v>270</v>
      </c>
    </row>
    <row r="10" spans="1:7" s="1" customFormat="1" ht="39.950000000000003" customHeight="1" x14ac:dyDescent="0.15">
      <c r="A10" s="2">
        <v>15</v>
      </c>
      <c r="B10" s="6" t="s">
        <v>162</v>
      </c>
      <c r="C10" s="6" t="s">
        <v>160</v>
      </c>
      <c r="D10" s="8" t="s">
        <v>252</v>
      </c>
      <c r="E10" s="5" t="s">
        <v>259</v>
      </c>
      <c r="F10" s="8" t="s">
        <v>267</v>
      </c>
      <c r="G10" s="8" t="s">
        <v>271</v>
      </c>
    </row>
    <row r="11" spans="1:7" s="1" customFormat="1" ht="63.75" customHeight="1" x14ac:dyDescent="0.15">
      <c r="A11" s="2">
        <v>21</v>
      </c>
      <c r="B11" s="3" t="s">
        <v>106</v>
      </c>
      <c r="C11" s="6" t="s">
        <v>107</v>
      </c>
      <c r="D11" s="8" t="s">
        <v>253</v>
      </c>
      <c r="E11" s="5" t="s">
        <v>260</v>
      </c>
      <c r="F11" s="8" t="s">
        <v>268</v>
      </c>
      <c r="G11" s="8" t="s">
        <v>271</v>
      </c>
    </row>
  </sheetData>
  <mergeCells count="2">
    <mergeCell ref="B7:B8"/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项目跟踪表</vt:lpstr>
      <vt:lpstr>Sheet1</vt:lpstr>
      <vt:lpstr>dictionary</vt:lpstr>
      <vt:lpstr>紧急项目一览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2017-11-20T02:47:31Z</dcterms:modified>
</cp:coreProperties>
</file>