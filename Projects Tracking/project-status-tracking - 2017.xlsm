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0" windowWidth="14805" windowHeight="1140"/>
  </bookViews>
  <sheets>
    <sheet name="项目跟踪表" sheetId="178" r:id="rId1"/>
    <sheet name="Sheet1" sheetId="181" r:id="rId2"/>
    <sheet name="dictionary" sheetId="179" r:id="rId3"/>
    <sheet name="紧急项目一览" sheetId="180" r:id="rId4"/>
  </sheets>
  <definedNames>
    <definedName name="_xlnm._FilterDatabase" localSheetId="0" hidden="1">项目跟踪表!$G$1:$G$53</definedName>
  </definedNames>
  <calcPr calcId="152511"/>
</workbook>
</file>

<file path=xl/calcChain.xml><?xml version="1.0" encoding="utf-8"?>
<calcChain xmlns="http://schemas.openxmlformats.org/spreadsheetml/2006/main">
  <c r="E2" i="178" l="1"/>
</calcChain>
</file>

<file path=xl/sharedStrings.xml><?xml version="1.0" encoding="utf-8"?>
<sst xmlns="http://schemas.openxmlformats.org/spreadsheetml/2006/main" count="681" uniqueCount="417">
  <si>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</si>
  <si>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</si>
  <si>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</si>
  <si>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</si>
  <si>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</si>
  <si>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</si>
  <si>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</si>
  <si>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</si>
  <si>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</si>
  <si>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</si>
  <si>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</si>
  <si>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</si>
  <si>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</si>
  <si>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</si>
  <si>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</si>
  <si>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</si>
  <si>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</si>
  <si>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</si>
  <si>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</si>
  <si>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</si>
  <si>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</si>
  <si>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</si>
  <si>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</si>
  <si>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</si>
  <si>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</si>
  <si>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</si>
  <si>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</si>
  <si>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</si>
  <si>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</si>
  <si>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</si>
  <si>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</si>
  <si>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</si>
  <si>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</si>
  <si>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</si>
  <si>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</si>
  <si>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</si>
  <si>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</si>
  <si>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</si>
  <si>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</si>
  <si>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</si>
  <si>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</si>
  <si>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</si>
  <si>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</si>
  <si>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</si>
  <si>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</si>
  <si>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</si>
  <si>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</si>
  <si>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</si>
  <si>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</si>
  <si>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</si>
  <si>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</si>
  <si>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</si>
  <si>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</si>
  <si>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</si>
  <si>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</si>
  <si>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</si>
  <si>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</si>
  <si>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</si>
  <si>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</si>
  <si>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</si>
  <si>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</si>
  <si>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</si>
  <si>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</si>
  <si>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2016-3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</si>
  <si>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</si>
  <si>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</si>
  <si>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</si>
  <si>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</si>
  <si>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</si>
  <si>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</si>
  <si>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</si>
  <si>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</si>
  <si>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</si>
  <si>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</si>
  <si>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</si>
  <si>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</si>
  <si>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</si>
  <si>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</si>
  <si>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</si>
  <si>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</si>
  <si>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</si>
  <si>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</si>
  <si>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23-trusSignPdf（Windows）</t>
    <phoneticPr fontId="1" type="noConversion"/>
  </si>
  <si>
    <t>24-trusSignPdf（iOS）</t>
    <phoneticPr fontId="1" type="noConversion"/>
  </si>
  <si>
    <t>25-trusSignPdf（Android）</t>
    <phoneticPr fontId="1" type="noConversion"/>
  </si>
  <si>
    <t>26-trusSignPdfPlugin（Windows）</t>
    <phoneticPr fontId="1" type="noConversion"/>
  </si>
  <si>
    <t>27-trusSignPdfPlugin（iOS）</t>
    <phoneticPr fontId="1" type="noConversion"/>
  </si>
  <si>
    <t>28-trusSignPdfPlugin（Android）</t>
    <phoneticPr fontId="1" type="noConversion"/>
  </si>
  <si>
    <t>29-手写签名屏</t>
    <phoneticPr fontId="1" type="noConversion"/>
  </si>
  <si>
    <t>30-高拍仪</t>
    <phoneticPr fontId="1" type="noConversion"/>
  </si>
  <si>
    <t>31-指纹采集仪</t>
    <phoneticPr fontId="1" type="noConversion"/>
  </si>
  <si>
    <t>32-智能平板电脑</t>
    <phoneticPr fontId="1" type="noConversion"/>
  </si>
  <si>
    <t>33-金融背夹</t>
    <phoneticPr fontId="1" type="noConversion"/>
  </si>
  <si>
    <t>34-智能机器人</t>
    <phoneticPr fontId="1" type="noConversion"/>
  </si>
  <si>
    <t>35-印章保险柜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</si>
  <si>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</si>
  <si>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</si>
  <si>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</si>
  <si>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</si>
  <si>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36-第三方证据保全服务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</si>
  <si>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</si>
  <si>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</si>
  <si>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</si>
  <si>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</si>
  <si>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</si>
  <si>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</si>
  <si>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</si>
  <si>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</si>
  <si>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</si>
  <si>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</si>
  <si>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</si>
  <si>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</si>
  <si>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</si>
  <si>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</si>
  <si>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恒安人寿无纸化建设项目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</si>
  <si>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</si>
  <si>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</si>
  <si>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</si>
  <si>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</si>
  <si>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</si>
  <si>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华融湘江银行直销银行无纸化项目</t>
    <phoneticPr fontId="1" type="noConversion"/>
  </si>
  <si>
    <t>郑旭东</t>
    <phoneticPr fontId="1" type="noConversion"/>
  </si>
  <si>
    <t>中融信托无纸化建设二期项目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</si>
  <si>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</si>
  <si>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</si>
  <si>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</si>
  <si>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</si>
  <si>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</si>
  <si>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</si>
  <si>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</si>
  <si>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</si>
  <si>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</si>
  <si>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李达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</si>
  <si>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</si>
  <si>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</si>
  <si>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</si>
  <si>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</si>
  <si>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</si>
  <si>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</si>
  <si>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</si>
  <si>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</si>
  <si>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</si>
  <si>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</si>
  <si>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</si>
  <si>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</si>
  <si>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</si>
  <si>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</si>
  <si>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</si>
  <si>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</si>
  <si>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</si>
  <si>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</si>
  <si>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</si>
  <si>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兰州银行直销银行无纸化建设项目</t>
    <phoneticPr fontId="1" type="noConversion"/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</si>
  <si>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</si>
  <si>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</si>
  <si>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</si>
  <si>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</si>
  <si>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</si>
  <si>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</si>
  <si>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</si>
  <si>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</si>
  <si>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</si>
  <si>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</si>
  <si>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</si>
  <si>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</si>
  <si>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</si>
  <si>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</si>
  <si>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</si>
  <si>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</si>
  <si>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</si>
  <si>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</si>
  <si>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</si>
  <si>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</si>
  <si>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</si>
  <si>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</si>
  <si>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</si>
  <si>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</si>
  <si>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</si>
  <si>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</si>
  <si>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</si>
  <si>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</si>
  <si>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田太阳</t>
    <phoneticPr fontId="1" type="noConversion"/>
  </si>
  <si>
    <t>T - 天津金城银行</t>
    <phoneticPr fontId="1" type="noConversion"/>
  </si>
  <si>
    <t>刘红日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</si>
  <si>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</si>
  <si>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</si>
  <si>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</si>
  <si>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</si>
  <si>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</si>
  <si>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</si>
  <si>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</si>
  <si>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</si>
  <si>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</si>
  <si>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</si>
  <si>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</si>
  <si>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</si>
  <si>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</si>
  <si>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</si>
  <si>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</si>
  <si>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</si>
  <si>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2017-2</t>
    <phoneticPr fontId="1" type="noConversion"/>
  </si>
  <si>
    <t>王泱</t>
    <phoneticPr fontId="1" type="noConversion"/>
  </si>
  <si>
    <t>李达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</si>
  <si>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</si>
  <si>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</si>
  <si>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</si>
  <si>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</si>
  <si>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</si>
  <si>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</si>
  <si>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</si>
  <si>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</si>
  <si>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</si>
  <si>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W - 威海银行</t>
    <phoneticPr fontId="1" type="noConversion"/>
  </si>
  <si>
    <t>威海银行无纸化建设项目</t>
    <phoneticPr fontId="1" type="noConversion"/>
  </si>
  <si>
    <t>尹璐</t>
    <phoneticPr fontId="1" type="noConversion"/>
  </si>
  <si>
    <t>何佳佳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</si>
  <si>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</si>
  <si>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</si>
  <si>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</si>
  <si>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</si>
  <si>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</si>
  <si>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</si>
  <si>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</si>
  <si>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4月24日：本周开始实施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</si>
  <si>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</si>
  <si>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</si>
  <si>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</si>
  <si>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</si>
  <si>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</si>
  <si>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4月24日：部分上线，场景证书还未使用</t>
    <phoneticPr fontId="1" type="noConversion"/>
  </si>
  <si>
    <t>4月24日：部分上线，直销银行APP中一个业务已上线，另外一个业务还未调通</t>
    <phoneticPr fontId="1" type="noConversion"/>
  </si>
  <si>
    <t>4月24日：上线工单已提，等待客户上线通知</t>
    <phoneticPr fontId="1" type="noConversion"/>
  </si>
  <si>
    <t>4月24日：已上线完成。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</si>
  <si>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</si>
  <si>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</si>
  <si>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</si>
  <si>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</si>
  <si>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</si>
  <si>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</si>
  <si>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</si>
  <si>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</si>
  <si>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</si>
  <si>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B - 渤海证券</t>
    <phoneticPr fontId="1" type="noConversion"/>
  </si>
  <si>
    <t>渤海证券互联网营业厅数字证书保管箱系统项目</t>
    <phoneticPr fontId="1" type="noConversion"/>
  </si>
  <si>
    <t>20-证券行业</t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</si>
  <si>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</si>
  <si>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</si>
  <si>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</si>
  <si>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</si>
  <si>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</si>
  <si>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</si>
  <si>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01-售前-方案交流</t>
  </si>
  <si>
    <t>4月24日：等待客户反馈</t>
    <phoneticPr fontId="1" type="noConversion"/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</si>
  <si>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</si>
  <si>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</si>
  <si>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</si>
  <si>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</si>
  <si>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</si>
  <si>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</si>
  <si>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</si>
  <si>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</si>
  <si>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</si>
  <si>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</si>
  <si>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</si>
  <si>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</si>
  <si>
    <t>3月29日：正在实施中
5月7日：5月10日上线</t>
    <phoneticPr fontId="1" type="noConversion"/>
  </si>
  <si>
    <t>4月24日：客户APP业务暂停，后续转向微信端业务模式
5月7日：5月10日上线</t>
    <phoneticPr fontId="1" type="noConversion"/>
  </si>
  <si>
    <t>4月24日：客户近期启动实施
5月7日：5月15日上线</t>
    <phoneticPr fontId="1" type="noConversion"/>
  </si>
  <si>
    <t>H - 河北幸福消费金融</t>
    <phoneticPr fontId="1" type="noConversion"/>
  </si>
  <si>
    <t>秦雨</t>
    <phoneticPr fontId="1" type="noConversion"/>
  </si>
  <si>
    <t>张腾</t>
    <phoneticPr fontId="1" type="noConversion"/>
  </si>
  <si>
    <t>4月24日：已编写详细实施方案
5月7日：下周完成5个模板的制作与集成；</t>
    <phoneticPr fontId="1" type="noConversion"/>
  </si>
  <si>
    <t>序号</t>
    <phoneticPr fontId="1" type="noConversion"/>
  </si>
  <si>
    <t>客户名称</t>
    <phoneticPr fontId="1" type="noConversion"/>
  </si>
  <si>
    <t>售前/实施</t>
    <phoneticPr fontId="1" type="noConversion"/>
  </si>
  <si>
    <t>风险</t>
    <phoneticPr fontId="1" type="noConversion"/>
  </si>
  <si>
    <t>重要时间</t>
    <phoneticPr fontId="1" type="noConversion"/>
  </si>
  <si>
    <t>李军</t>
    <phoneticPr fontId="1" type="noConversion"/>
  </si>
  <si>
    <t>韩智凯</t>
    <phoneticPr fontId="1" type="noConversion"/>
  </si>
  <si>
    <t>李达</t>
    <phoneticPr fontId="1" type="noConversion"/>
  </si>
  <si>
    <t>张腾</t>
    <phoneticPr fontId="1" type="noConversion"/>
  </si>
  <si>
    <t>韩智凯</t>
    <phoneticPr fontId="1" type="noConversion"/>
  </si>
  <si>
    <t>刘红日</t>
    <phoneticPr fontId="1" type="noConversion"/>
  </si>
  <si>
    <t>杨竞</t>
    <phoneticPr fontId="1" type="noConversion"/>
  </si>
  <si>
    <t>5月10日上线</t>
    <phoneticPr fontId="1" type="noConversion"/>
  </si>
  <si>
    <t>5月15日上线</t>
    <phoneticPr fontId="1" type="noConversion"/>
  </si>
  <si>
    <t>5月15日上线</t>
    <phoneticPr fontId="1" type="noConversion"/>
  </si>
  <si>
    <t>5月末上线</t>
    <phoneticPr fontId="1" type="noConversion"/>
  </si>
  <si>
    <t>5月12日上会</t>
    <phoneticPr fontId="1" type="noConversion"/>
  </si>
  <si>
    <t>5月末上线</t>
    <phoneticPr fontId="1" type="noConversion"/>
  </si>
  <si>
    <t>5月18日上线</t>
    <phoneticPr fontId="1" type="noConversion"/>
  </si>
  <si>
    <t>实施人员精力全都投放在平顶山银行，无法兼顾，新人李军恐无法同时兼顾长行和长银五八</t>
    <phoneticPr fontId="1" type="noConversion"/>
  </si>
  <si>
    <t>暂无风险</t>
    <phoneticPr fontId="1" type="noConversion"/>
  </si>
  <si>
    <t>因新人实施经验不足，存在上线失败的风险</t>
    <phoneticPr fontId="1" type="noConversion"/>
  </si>
  <si>
    <t>解决办法</t>
    <phoneticPr fontId="1" type="noConversion"/>
  </si>
  <si>
    <t>暂无风险</t>
    <phoneticPr fontId="1" type="noConversion"/>
  </si>
  <si>
    <t>压力测试后发现文件存储路径乱码，行方限5月9日晚前解决，目前暂时没有找到问题</t>
    <phoneticPr fontId="1" type="noConversion"/>
  </si>
  <si>
    <t>存在需要开发的接口和界面需求，开发还未提供</t>
    <phoneticPr fontId="1" type="noConversion"/>
  </si>
  <si>
    <t>新开发的无纸化前置与信贷系统联调失败，客户要求5月8日晚8时以前解决问题</t>
    <phoneticPr fontId="1" type="noConversion"/>
  </si>
  <si>
    <t>建议协调贺磊、刘子龙、程玉斌等有经验的实施人员参与、保线</t>
    <phoneticPr fontId="1" type="noConversion"/>
  </si>
  <si>
    <t>已经协调苏才礼赴现场查找问题</t>
    <phoneticPr fontId="1" type="noConversion"/>
  </si>
  <si>
    <t>督促田松尽快完成开发</t>
    <phoneticPr fontId="1" type="noConversion"/>
  </si>
  <si>
    <t>紧急项目一览表（4月11日）</t>
    <phoneticPr fontId="1" type="noConversion"/>
  </si>
  <si>
    <t>Z - 镇江公积金</t>
    <phoneticPr fontId="1" type="noConversion"/>
  </si>
  <si>
    <t>镇江公积金无纸化建设项目</t>
    <phoneticPr fontId="1" type="noConversion"/>
  </si>
  <si>
    <t>05-公积金行业</t>
  </si>
  <si>
    <t>2017-5</t>
    <phoneticPr fontId="1" type="noConversion"/>
  </si>
  <si>
    <t>徐艳红</t>
    <phoneticPr fontId="1" type="noConversion"/>
  </si>
  <si>
    <t>6月2日：与开发商常州富通公司联合制作了Demo，并与镇江公积金完成了演示和交流工作</t>
    <phoneticPr fontId="1" type="noConversion"/>
  </si>
  <si>
    <t>2016-6</t>
    <phoneticPr fontId="1" type="noConversion"/>
  </si>
  <si>
    <t>4月24日：等待客户反馈
6月2日：商务已决定无纸化--》安心签</t>
    <phoneticPr fontId="1" type="noConversion"/>
  </si>
  <si>
    <t>05-终止</t>
  </si>
  <si>
    <t>07-实施-环境搭建</t>
  </si>
  <si>
    <t>4月24日：客户正在走商务合同流程，近期启动实施
6月2日：合同已走完，客户要求下周赴现场搭建测试环境和接口集成</t>
    <phoneticPr fontId="1" type="noConversion"/>
  </si>
  <si>
    <t>4月24日：客户方业务系统仍在开发，远程支持集成工作
6月2日：已完成客户生产环境无纸化系统搭建，客户自己逐个商户上线对接</t>
    <phoneticPr fontId="1" type="noConversion"/>
  </si>
  <si>
    <t>B - 宝乾小贷</t>
    <phoneticPr fontId="1" type="noConversion"/>
  </si>
  <si>
    <t>冯帧</t>
    <phoneticPr fontId="1" type="noConversion"/>
  </si>
  <si>
    <t>宝乾小贷无纸化云证通建设项目</t>
    <phoneticPr fontId="1" type="noConversion"/>
  </si>
  <si>
    <t>5月2日：宝乾北京分公司交流，焦清旺、何佳佳、冯帧
5月12日：长沙交流，焦清旺、赵胜利、冯帧</t>
    <phoneticPr fontId="1" type="noConversion"/>
  </si>
  <si>
    <t>B - 百瑞信托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</si>
  <si>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</si>
  <si>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樊耀华、韩智凯、焦清旺</t>
    <phoneticPr fontId="1" type="noConversion"/>
  </si>
  <si>
    <t>华泰证券无纸化建设项目</t>
    <phoneticPr fontId="1" type="noConversion"/>
  </si>
  <si>
    <t>01-无纸化手写电子签名系统_x000D_
03-无纸化手写签名中间件（iOS）_x000D_
04-无纸化手写签名中间件（Android）_x000D_
09-场景证书</t>
    <phoneticPr fontId="1" type="noConversion"/>
  </si>
  <si>
    <t>6月2日：已完成多次交流，主打云证通+无纸化，等待客户方评估，有北京CA参与</t>
    <phoneticPr fontId="1" type="noConversion"/>
  </si>
  <si>
    <t>H - 哈银消费金融</t>
    <phoneticPr fontId="1" type="noConversion"/>
  </si>
  <si>
    <t>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</si>
  <si>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6月2日：客户需求要求自建CA，经公司曾决策，中止投标，并向客户方就自建CA不合规性预警</t>
    <phoneticPr fontId="1" type="noConversion"/>
  </si>
  <si>
    <t>H - 海闻科技</t>
    <phoneticPr fontId="1" type="noConversion"/>
  </si>
  <si>
    <t>海闻科技电子发票项目</t>
    <phoneticPr fontId="1" type="noConversion"/>
  </si>
  <si>
    <t>18-合作伙伴</t>
  </si>
  <si>
    <t>02-售前-需求分析</t>
  </si>
  <si>
    <t>杜姜霖</t>
    <phoneticPr fontId="1" type="noConversion"/>
  </si>
  <si>
    <t>D - 中国东盟海产品交易所</t>
    <phoneticPr fontId="1" type="noConversion"/>
  </si>
  <si>
    <t>大宗交易平台无纸化项目</t>
    <phoneticPr fontId="1" type="noConversion"/>
  </si>
  <si>
    <t>06-互联网其他行业</t>
  </si>
  <si>
    <t>01-无纸化手写电子签名系统_x000D_
07-远程时间戳服务_x000D_
09-场景证书_x000D_
10-个人证书_x000D_
12-企业证书_x000D_
13-蓝牙Key</t>
    <phoneticPr fontId="1" type="noConversion"/>
  </si>
  <si>
    <t>5月31日：提交客户解决方案</t>
    <phoneticPr fontId="1" type="noConversion"/>
  </si>
  <si>
    <t>Y - 营口银行</t>
    <phoneticPr fontId="1" type="noConversion"/>
  </si>
  <si>
    <t>营口银行无纸化+云证通项目</t>
    <phoneticPr fontId="1" type="noConversion"/>
  </si>
  <si>
    <t>01-无纸化手写电子签名系统_x000D_
03-无纸化手写签名中间件（iOS）_x000D_
04-无纸化手写签名中间件（Android）_x000D_
07-远程时间戳服务_x000D_
15-云证通</t>
    <phoneticPr fontId="1" type="noConversion"/>
  </si>
  <si>
    <t>H - 海尔消费金融</t>
    <phoneticPr fontId="1" type="noConversion"/>
  </si>
  <si>
    <t>海尔消费金融无纸化项目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</si>
  <si>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</t>
    <phoneticPr fontId="1" type="noConversion"/>
  </si>
  <si>
    <t>王爱敏</t>
    <phoneticPr fontId="1" type="noConversion"/>
  </si>
  <si>
    <t>5月16日：提交客户解决方案</t>
    <phoneticPr fontId="1" type="noConversion"/>
  </si>
  <si>
    <t>翟文进</t>
    <phoneticPr fontId="1" type="noConversion"/>
  </si>
  <si>
    <t>4月28日：营口银行现场交流
5月24日：商务反馈客户已经确定一期采购云证通，正在走商务合同；二期采购无纸化</t>
    <phoneticPr fontId="1" type="noConversion"/>
  </si>
  <si>
    <t>Z - 郑州银行</t>
    <phoneticPr fontId="1" type="noConversion"/>
  </si>
  <si>
    <t>J - 焦作中旅银行</t>
    <phoneticPr fontId="1" type="noConversion"/>
  </si>
  <si>
    <t>Week</t>
    <phoneticPr fontId="1" type="noConversion"/>
  </si>
  <si>
    <t>01-银行业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</si>
  <si>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  <phoneticPr fontId="1" type="noConversion"/>
  </si>
  <si>
    <t>2017-6</t>
    <phoneticPr fontId="1" type="noConversion"/>
  </si>
  <si>
    <t>韩智凯</t>
    <phoneticPr fontId="1" type="noConversion"/>
  </si>
  <si>
    <t>6月2日：编制询价函技术方案，基本确定单一来源
6月26日：测试环境搭建完毕，接口调通</t>
    <phoneticPr fontId="1" type="noConversion"/>
  </si>
  <si>
    <t>4月24日：信贷业务总则、优质员工贷实施细则已编写完成；
5月7日：下周上会，最终确定管理办法和制度
6月26日：计划7月14日上线，需要部署生产环境，走工单流程</t>
    <phoneticPr fontId="1" type="noConversion"/>
  </si>
  <si>
    <t>4月24日：定制开发
5月7日：压力测试下文件存储路径乱码
6月26日：6月23日网贷系统上线完毕，后续计划不明，需要与行方了解</t>
    <phoneticPr fontId="1" type="noConversion"/>
  </si>
  <si>
    <t>5月7日：5月10日上线
6月26日：上线准备工作已经完毕，等待28日上线，服务器证书客户将于与秦雨联系。</t>
    <phoneticPr fontId="1" type="noConversion"/>
  </si>
  <si>
    <t>4月24日：已上线完成
6月26日：新业务单据规划，采用html模板制作。</t>
    <phoneticPr fontId="1" type="noConversion"/>
  </si>
  <si>
    <t>4月24日：目前已完成直销银行无纸化上线，后续还会有其它渠道集成
5月7日：合同模板待制作，接口和界面需求待完成
6月26日：直销银行汽车贷以及政采贷已经上线</t>
    <phoneticPr fontId="1" type="noConversion"/>
  </si>
  <si>
    <t>4月24日：一期京东白条电子印章完成；二期PC浏览器、手机APP信托合同电子签署正在集成开发
6月26日：在线面签系统，生产环境准备完毕，等待上线，上线时间待定</t>
    <phoneticPr fontId="1" type="noConversion"/>
  </si>
  <si>
    <t>4月24日：已上线完成</t>
    <phoneticPr fontId="1" type="noConversion"/>
  </si>
  <si>
    <t>4月24日：蓝牙Key以及上线，在生产环境下完成了测试和培训工作，但没有生产标业务发生；即将开展中石油预植前置系统和无纸化系统的云平台迁移工作
6月26日：大庆油田Sealmaker提需求，制作天地融Key专用版，解决二次制章的问题。</t>
    <phoneticPr fontId="1" type="noConversion"/>
  </si>
  <si>
    <t>李军</t>
    <phoneticPr fontId="1" type="noConversion"/>
  </si>
  <si>
    <t>6月2日：客户暂时想使用PDFSealSADK方式集成至其增值税管理系统，机构证书暂时线下申请，未来可能需要电子签章系统+RA系统；后续由李军跟进
6月26日：计划本周三去客户现场搭建RA系统，指导开发商开发。</t>
    <phoneticPr fontId="1" type="noConversion"/>
  </si>
  <si>
    <t>开始时间</t>
    <phoneticPr fontId="1" type="noConversion"/>
  </si>
  <si>
    <t>17-RA</t>
    <phoneticPr fontId="1" type="noConversion"/>
  </si>
  <si>
    <t>J - 晋城银行</t>
    <phoneticPr fontId="1" type="noConversion"/>
  </si>
  <si>
    <t>晋城银行手机银行电子签章建设项目</t>
    <phoneticPr fontId="1" type="noConversion"/>
  </si>
  <si>
    <t>李颖</t>
    <phoneticPr fontId="1" type="noConversion"/>
  </si>
  <si>
    <t>S - 三星保险</t>
    <phoneticPr fontId="1" type="noConversion"/>
  </si>
  <si>
    <t>三星保险无纸化建设项目</t>
    <phoneticPr fontId="1" type="noConversion"/>
  </si>
  <si>
    <t>2017-6</t>
    <phoneticPr fontId="1" type="noConversion"/>
  </si>
  <si>
    <t>徐艳红</t>
    <phoneticPr fontId="1" type="noConversion"/>
  </si>
  <si>
    <t>焦清旺</t>
    <phoneticPr fontId="1" type="noConversion"/>
  </si>
  <si>
    <t>B - 包商银行</t>
    <phoneticPr fontId="1" type="noConversion"/>
  </si>
  <si>
    <t>包商银行信贷业务无纸化建设项目</t>
    <phoneticPr fontId="1" type="noConversion"/>
  </si>
  <si>
    <t>01-无纸化手写电子签名系统_x000D_
09-场景证书_x000D_
12-企业证书_x000D_
16-签名验签服务器</t>
    <phoneticPr fontId="1" type="noConversion"/>
  </si>
  <si>
    <t>2017-7</t>
    <phoneticPr fontId="1" type="noConversion"/>
  </si>
  <si>
    <t>W - 五矿信托</t>
    <phoneticPr fontId="1" type="noConversion"/>
  </si>
  <si>
    <t>五矿信托无纸化建设项目</t>
    <phoneticPr fontId="1" type="noConversion"/>
  </si>
  <si>
    <t>T - 天津银行</t>
    <phoneticPr fontId="1" type="noConversion"/>
  </si>
  <si>
    <t>天津银行无纸化建设项目</t>
    <phoneticPr fontId="1" type="noConversion"/>
  </si>
  <si>
    <t>安雨萌</t>
    <phoneticPr fontId="1" type="noConversion"/>
  </si>
  <si>
    <t>Z - 招商银行</t>
  </si>
  <si>
    <t>Z - 招商银行</t>
    <phoneticPr fontId="1" type="noConversion"/>
  </si>
  <si>
    <t>招商银行信用卡中心无纸化建设项目</t>
    <phoneticPr fontId="1" type="noConversion"/>
  </si>
  <si>
    <t>2017-5</t>
    <phoneticPr fontId="1" type="noConversion"/>
  </si>
  <si>
    <t>王婷</t>
  </si>
  <si>
    <t>王婷</t>
    <phoneticPr fontId="1" type="noConversion"/>
  </si>
  <si>
    <t>李达/刘通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</si>
  <si>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</si>
  <si>
    <t>招商银行小企业E家无纸化建设项目</t>
    <phoneticPr fontId="1" type="noConversion"/>
  </si>
  <si>
    <t>2017-3</t>
    <phoneticPr fontId="1" type="noConversion"/>
  </si>
  <si>
    <t>刘通</t>
    <phoneticPr fontId="1" type="noConversion"/>
  </si>
  <si>
    <t>01-无纸化手写电子签名系统_x000D_
03-无纸化手写签名中间件（iOS）_x000D_
04-无纸化手写签名中间件（Android）_x000D_
07-远程时间戳服务_x000D_
09-场景证书_x000D_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</si>
  <si>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12-企业证书_x000D_
26-trusSignPdfPlugin（Windows）</t>
    <phoneticPr fontId="1" type="noConversion"/>
  </si>
  <si>
    <t>郑州银行网贷（小企业部沙县小吃）无纸化建设项目</t>
    <phoneticPr fontId="1" type="noConversion"/>
  </si>
  <si>
    <t>已上线</t>
    <phoneticPr fontId="1" type="noConversion"/>
  </si>
  <si>
    <t>当前采用普通证书方案，争取场景证书需要先确认性能是否达标，能否支持并发量</t>
    <phoneticPr fontId="1" type="noConversion"/>
  </si>
  <si>
    <t>杨竞</t>
    <phoneticPr fontId="1" type="noConversion"/>
  </si>
  <si>
    <t>韩智凯/杨竞</t>
    <phoneticPr fontId="1" type="noConversion"/>
  </si>
  <si>
    <t>郑州银行电子保理、资金监管（交易二部）（贸融金融、供应链金融）无纸化建设项目</t>
    <phoneticPr fontId="1" type="noConversion"/>
  </si>
  <si>
    <t>郑州银行电子保理及电子预付款融资业务（交易一部）无纸化建设项目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</si>
  <si>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11-设备证书_x000D_
12-企业证书_x000D_
26-trusSignPdfPlugin（Windows）</t>
    <phoneticPr fontId="1" type="noConversion"/>
  </si>
  <si>
    <t>郑州银行智能营销业务APP（网络金融部移动展业系统）无纸化建设项目</t>
    <phoneticPr fontId="1" type="noConversion"/>
  </si>
  <si>
    <t>2017-7</t>
    <phoneticPr fontId="1" type="noConversion"/>
  </si>
  <si>
    <t>按沙县小吃方案进行</t>
    <phoneticPr fontId="1" type="noConversion"/>
  </si>
  <si>
    <t>计划8月底上线</t>
    <phoneticPr fontId="1" type="noConversion"/>
  </si>
  <si>
    <t>客户整体需求设计中</t>
    <phoneticPr fontId="1" type="noConversion"/>
  </si>
  <si>
    <t>2017-03</t>
    <phoneticPr fontId="1" type="noConversion"/>
  </si>
  <si>
    <t>2017-06</t>
    <phoneticPr fontId="1" type="noConversion"/>
  </si>
  <si>
    <t>2016-10</t>
    <phoneticPr fontId="1" type="noConversion"/>
  </si>
  <si>
    <t>X - 现代汽车消费金融</t>
    <phoneticPr fontId="1" type="noConversion"/>
  </si>
  <si>
    <t>现代汽车消费金融无纸化建设方案</t>
    <phoneticPr fontId="1" type="noConversion"/>
  </si>
  <si>
    <t>2017-8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</si>
</sst>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7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8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6" fillId="0" borderId="0" xfId="0" applyFont="1"/>
    <xf numFmtId="0" fontId="2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49" fontId="2" fillId="0" borderId="0" xfId="0" applyNumberFormat="1" applyFont="1" applyAlignment="1">
      <alignment horizontal="center" vertical="center"/>
    </xf>
    <xf numFmtId="0" fontId="5" fillId="4" borderId="1" xfId="0" applyFont="1" applyFill="1" applyBorder="1" applyAlignment="1">
      <alignment vertical="center" wrapText="1"/>
    </xf>
    <xf numFmtId="176" fontId="2" fillId="0" borderId="0" xfId="0" applyNumberFormat="1" applyFont="1" applyAlignment="1">
      <alignment horizontal="center" vertical="center"/>
    </xf>
    <xf numFmtId="14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58" fontId="2" fillId="0" borderId="1" xfId="0" applyNumberFormat="1" applyFont="1" applyFill="1" applyBorder="1" applyAlignment="1">
      <alignment horizontal="left" vertical="center" wrapText="1"/>
    </xf>
    <xf numFmtId="0" fontId="2" fillId="0" borderId="0" xfId="0" applyFont="1" applyFill="1"/>
    <xf numFmtId="0" fontId="2" fillId="4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5" fillId="4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176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176" fontId="2" fillId="4" borderId="1" xfId="0" applyNumberFormat="1" applyFont="1" applyFill="1" applyBorder="1" applyAlignment="1">
      <alignment horizontal="center" vertical="center" wrapText="1"/>
    </xf>
    <xf numFmtId="58" fontId="2" fillId="0" borderId="2" xfId="0" applyNumberFormat="1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left" vertical="center" wrapText="1"/>
    </xf>
    <xf numFmtId="0" fontId="5" fillId="4" borderId="4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>
    <pageSetUpPr fitToPage="1"/>
  </sheetPr>
  <dimension ref="A1:L53"/>
  <sheetViews>
    <sheetView tabSelected="1" zoomScaleNormal="100" workbookViewId="0">
      <pane xSplit="2" ySplit="3" topLeftCell="C27" activePane="bottomRight" state="frozen"/>
      <selection activeCell="H120" sqref="H120"/>
      <selection pane="topRight" activeCell="H120" sqref="H120"/>
      <selection pane="bottomLeft" activeCell="H120" sqref="H120"/>
      <selection pane="bottomRight" activeCell="I42" sqref="I42"/>
    </sheetView>
  </sheetViews>
  <sheetFormatPr defaultRowHeight="13.5"/>
  <cols>
    <col min="1" max="1" width="7.25" style="2" customWidth="1"/>
    <col min="2" max="2" width="21.375" style="3" customWidth="1"/>
    <col min="3" max="3" width="22.625" style="3" customWidth="1"/>
    <col min="4" max="4" width="15.375" style="3" customWidth="1"/>
    <col min="5" max="5" width="28.625" style="3" customWidth="1"/>
    <col min="6" max="6" width="10.625" style="3" customWidth="1"/>
    <col min="7" max="7" width="17.125" style="3" customWidth="1"/>
    <col min="8" max="8" width="12.625" style="10" customWidth="1"/>
    <col min="9" max="9" width="10.625" style="12" customWidth="1"/>
    <col min="10" max="10" width="15.625" style="2" customWidth="1"/>
    <col min="11" max="11" width="15.375" style="2" customWidth="1"/>
    <col min="12" max="12" width="70.5" style="4" customWidth="1"/>
    <col min="13" max="16384" width="9" style="1"/>
  </cols>
  <sheetData>
    <row r="1" spans="1:12" ht="30" customHeight="1">
      <c r="A1" s="37" t="s">
        <v>76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</row>
    <row r="2" spans="1:12" ht="30" customHeight="1">
      <c r="A2" s="37" t="s">
        <v>75</v>
      </c>
      <c r="B2" s="37"/>
      <c r="C2" s="13">
        <v>42918</v>
      </c>
      <c r="D2" s="14" t="s">
        <v>350</v>
      </c>
      <c r="E2" s="15">
        <f>WEEKNUM(C2)</f>
        <v>27</v>
      </c>
      <c r="F2" s="16"/>
      <c r="G2" s="16"/>
      <c r="H2" s="16"/>
      <c r="I2" s="16"/>
      <c r="J2" s="16"/>
      <c r="K2" s="16"/>
      <c r="L2" s="16"/>
    </row>
    <row r="3" spans="1:12" ht="20.100000000000001" customHeight="1">
      <c r="A3" s="29" t="s">
        <v>0</v>
      </c>
      <c r="B3" s="29" t="s">
        <v>3</v>
      </c>
      <c r="C3" s="29" t="s">
        <v>61</v>
      </c>
      <c r="D3" s="29" t="s">
        <v>64</v>
      </c>
      <c r="E3" s="29" t="s">
        <v>7</v>
      </c>
      <c r="F3" s="29" t="s">
        <v>6</v>
      </c>
      <c r="G3" s="29" t="s">
        <v>65</v>
      </c>
      <c r="H3" s="30" t="s">
        <v>366</v>
      </c>
      <c r="I3" s="29" t="s">
        <v>1</v>
      </c>
      <c r="J3" s="29" t="s">
        <v>4</v>
      </c>
      <c r="K3" s="29" t="s">
        <v>5</v>
      </c>
      <c r="L3" s="29" t="s">
        <v>2</v>
      </c>
    </row>
    <row r="4" spans="1:12" s="24" customFormat="1" ht="39.950000000000003" customHeight="1">
      <c r="A4" s="19">
        <v>1</v>
      </c>
      <c r="B4" s="17" t="s">
        <v>184</v>
      </c>
      <c r="C4" s="17" t="s">
        <v>185</v>
      </c>
      <c r="D4" s="18" t="s">
        <v>186</v>
      </c>
      <c r="E4" s="18" t="s">
        <v>107</v>
      </c>
      <c r="F4" s="18" t="s">
        <v>222</v>
      </c>
      <c r="G4" s="18" t="s">
        <v>221</v>
      </c>
      <c r="H4" s="31" t="s">
        <v>123</v>
      </c>
      <c r="I4" s="32" t="s">
        <v>187</v>
      </c>
      <c r="J4" s="19" t="s">
        <v>115</v>
      </c>
      <c r="K4" s="19" t="s">
        <v>204</v>
      </c>
      <c r="L4" s="23" t="s">
        <v>226</v>
      </c>
    </row>
    <row r="5" spans="1:12" ht="39.950000000000003" customHeight="1">
      <c r="A5" s="19">
        <v>2</v>
      </c>
      <c r="B5" s="11" t="s">
        <v>319</v>
      </c>
      <c r="C5" s="11" t="s">
        <v>304</v>
      </c>
      <c r="D5" s="33" t="s">
        <v>22</v>
      </c>
      <c r="E5" s="9" t="s">
        <v>320</v>
      </c>
      <c r="F5" s="8" t="s">
        <v>41</v>
      </c>
      <c r="G5" s="8" t="s">
        <v>151</v>
      </c>
      <c r="H5" s="34" t="s">
        <v>306</v>
      </c>
      <c r="I5" s="35" t="s">
        <v>126</v>
      </c>
      <c r="J5" s="26" t="s">
        <v>321</v>
      </c>
      <c r="K5" s="26" t="s">
        <v>354</v>
      </c>
      <c r="L5" s="25" t="s">
        <v>355</v>
      </c>
    </row>
    <row r="6" spans="1:12" s="24" customFormat="1" ht="39.950000000000003" hidden="1" customHeight="1">
      <c r="A6" s="19">
        <v>3</v>
      </c>
      <c r="B6" s="11" t="s">
        <v>315</v>
      </c>
      <c r="C6" s="11" t="s">
        <v>317</v>
      </c>
      <c r="D6" s="33" t="s">
        <v>165</v>
      </c>
      <c r="E6" s="9" t="s">
        <v>254</v>
      </c>
      <c r="F6" s="8" t="s">
        <v>41</v>
      </c>
      <c r="G6" s="8" t="s">
        <v>251</v>
      </c>
      <c r="H6" s="34" t="s">
        <v>306</v>
      </c>
      <c r="I6" s="35" t="s">
        <v>316</v>
      </c>
      <c r="J6" s="26" t="s">
        <v>8</v>
      </c>
      <c r="K6" s="26"/>
      <c r="L6" s="8" t="s">
        <v>318</v>
      </c>
    </row>
    <row r="7" spans="1:12" s="24" customFormat="1" ht="39.950000000000003" customHeight="1">
      <c r="A7" s="19">
        <v>4</v>
      </c>
      <c r="B7" s="11" t="s">
        <v>242</v>
      </c>
      <c r="C7" s="11" t="s">
        <v>243</v>
      </c>
      <c r="D7" s="33" t="s">
        <v>244</v>
      </c>
      <c r="E7" s="9" t="s">
        <v>246</v>
      </c>
      <c r="F7" s="8" t="s">
        <v>258</v>
      </c>
      <c r="G7" s="8" t="s">
        <v>247</v>
      </c>
      <c r="H7" s="34" t="s">
        <v>238</v>
      </c>
      <c r="I7" s="35" t="s">
        <v>248</v>
      </c>
      <c r="J7" s="26" t="s">
        <v>8</v>
      </c>
      <c r="K7" s="26"/>
      <c r="L7" s="8" t="s">
        <v>249</v>
      </c>
    </row>
    <row r="8" spans="1:12" s="24" customFormat="1" ht="39.950000000000003" hidden="1" customHeight="1">
      <c r="A8" s="19">
        <v>5</v>
      </c>
      <c r="B8" s="11" t="s">
        <v>376</v>
      </c>
      <c r="C8" s="11" t="s">
        <v>377</v>
      </c>
      <c r="D8" s="33" t="s">
        <v>11</v>
      </c>
      <c r="E8" s="9" t="s">
        <v>378</v>
      </c>
      <c r="F8" s="8" t="s">
        <v>41</v>
      </c>
      <c r="G8" s="8" t="s">
        <v>331</v>
      </c>
      <c r="H8" s="34" t="s">
        <v>379</v>
      </c>
      <c r="I8" s="35" t="s">
        <v>370</v>
      </c>
      <c r="J8" s="26" t="s">
        <v>119</v>
      </c>
      <c r="K8" s="26"/>
      <c r="L8" s="8" t="s">
        <v>249</v>
      </c>
    </row>
    <row r="9" spans="1:12" s="24" customFormat="1" ht="39.950000000000003" customHeight="1">
      <c r="A9" s="19">
        <v>6</v>
      </c>
      <c r="B9" s="17" t="s">
        <v>210</v>
      </c>
      <c r="C9" s="17" t="s">
        <v>211</v>
      </c>
      <c r="D9" s="18" t="s">
        <v>11</v>
      </c>
      <c r="E9" s="18" t="s">
        <v>100</v>
      </c>
      <c r="F9" s="18" t="s">
        <v>41</v>
      </c>
      <c r="G9" s="18" t="s">
        <v>51</v>
      </c>
      <c r="H9" s="31" t="s">
        <v>153</v>
      </c>
      <c r="I9" s="32" t="s">
        <v>118</v>
      </c>
      <c r="J9" s="19" t="s">
        <v>8</v>
      </c>
      <c r="K9" s="19" t="s">
        <v>8</v>
      </c>
      <c r="L9" s="23" t="s">
        <v>265</v>
      </c>
    </row>
    <row r="10" spans="1:12" ht="39.950000000000003" customHeight="1">
      <c r="A10" s="19">
        <v>7</v>
      </c>
      <c r="B10" s="17" t="s">
        <v>175</v>
      </c>
      <c r="C10" s="17" t="s">
        <v>176</v>
      </c>
      <c r="D10" s="18" t="s">
        <v>13</v>
      </c>
      <c r="E10" s="18" t="s">
        <v>107</v>
      </c>
      <c r="F10" s="18" t="s">
        <v>41</v>
      </c>
      <c r="G10" s="18" t="s">
        <v>51</v>
      </c>
      <c r="H10" s="31" t="s">
        <v>177</v>
      </c>
      <c r="I10" s="32" t="s">
        <v>118</v>
      </c>
      <c r="J10" s="19" t="s">
        <v>178</v>
      </c>
      <c r="K10" s="19" t="s">
        <v>179</v>
      </c>
      <c r="L10" s="36" t="s">
        <v>266</v>
      </c>
    </row>
    <row r="11" spans="1:12" ht="39.950000000000003" hidden="1" customHeight="1">
      <c r="A11" s="19">
        <v>8</v>
      </c>
      <c r="B11" s="11" t="s">
        <v>333</v>
      </c>
      <c r="C11" s="11" t="s">
        <v>334</v>
      </c>
      <c r="D11" s="33" t="s">
        <v>335</v>
      </c>
      <c r="E11" s="9" t="s">
        <v>336</v>
      </c>
      <c r="F11" s="8" t="s">
        <v>41</v>
      </c>
      <c r="G11" s="8" t="s">
        <v>251</v>
      </c>
      <c r="H11" s="34" t="s">
        <v>306</v>
      </c>
      <c r="I11" s="35" t="s">
        <v>111</v>
      </c>
      <c r="J11" s="26" t="s">
        <v>8</v>
      </c>
      <c r="K11" s="26"/>
      <c r="L11" s="25" t="s">
        <v>337</v>
      </c>
    </row>
    <row r="12" spans="1:12" ht="39.950000000000003" hidden="1" customHeight="1">
      <c r="A12" s="19">
        <v>9</v>
      </c>
      <c r="B12" s="11" t="s">
        <v>207</v>
      </c>
      <c r="C12" s="11" t="s">
        <v>208</v>
      </c>
      <c r="D12" s="33" t="s">
        <v>11</v>
      </c>
      <c r="E12" s="8" t="s">
        <v>135</v>
      </c>
      <c r="F12" s="8" t="s">
        <v>258</v>
      </c>
      <c r="G12" s="8" t="s">
        <v>150</v>
      </c>
      <c r="H12" s="34" t="s">
        <v>123</v>
      </c>
      <c r="I12" s="35" t="s">
        <v>209</v>
      </c>
      <c r="J12" s="26" t="s">
        <v>219</v>
      </c>
      <c r="K12" s="26" t="s">
        <v>98</v>
      </c>
      <c r="L12" s="22" t="s">
        <v>228</v>
      </c>
    </row>
    <row r="13" spans="1:12" ht="39.950000000000003" customHeight="1">
      <c r="A13" s="19">
        <v>10</v>
      </c>
      <c r="B13" s="11" t="s">
        <v>325</v>
      </c>
      <c r="C13" s="11" t="s">
        <v>304</v>
      </c>
      <c r="D13" s="33" t="s">
        <v>13</v>
      </c>
      <c r="E13" s="9" t="s">
        <v>326</v>
      </c>
      <c r="F13" s="8" t="s">
        <v>311</v>
      </c>
      <c r="G13" s="8" t="s">
        <v>247</v>
      </c>
      <c r="H13" s="34" t="s">
        <v>306</v>
      </c>
      <c r="I13" s="35" t="s">
        <v>209</v>
      </c>
      <c r="J13" s="26" t="s">
        <v>127</v>
      </c>
      <c r="K13" s="26"/>
      <c r="L13" s="25" t="s">
        <v>327</v>
      </c>
    </row>
    <row r="14" spans="1:12" ht="39.950000000000003" customHeight="1">
      <c r="A14" s="19">
        <v>11</v>
      </c>
      <c r="B14" s="17" t="s">
        <v>167</v>
      </c>
      <c r="C14" s="17" t="s">
        <v>106</v>
      </c>
      <c r="D14" s="18" t="s">
        <v>109</v>
      </c>
      <c r="E14" s="18" t="s">
        <v>107</v>
      </c>
      <c r="F14" s="18" t="s">
        <v>222</v>
      </c>
      <c r="G14" s="18" t="s">
        <v>221</v>
      </c>
      <c r="H14" s="31" t="s">
        <v>108</v>
      </c>
      <c r="I14" s="32" t="s">
        <v>113</v>
      </c>
      <c r="J14" s="19" t="s">
        <v>178</v>
      </c>
      <c r="K14" s="19" t="s">
        <v>112</v>
      </c>
      <c r="L14" s="36" t="s">
        <v>227</v>
      </c>
    </row>
    <row r="15" spans="1:12" ht="39.950000000000003" hidden="1" customHeight="1">
      <c r="A15" s="19">
        <v>12</v>
      </c>
      <c r="B15" s="11" t="s">
        <v>341</v>
      </c>
      <c r="C15" s="11" t="s">
        <v>342</v>
      </c>
      <c r="D15" s="33" t="s">
        <v>13</v>
      </c>
      <c r="E15" s="9" t="s">
        <v>343</v>
      </c>
      <c r="F15" s="8" t="s">
        <v>41</v>
      </c>
      <c r="G15" s="8" t="s">
        <v>251</v>
      </c>
      <c r="H15" s="34" t="s">
        <v>306</v>
      </c>
      <c r="I15" s="35" t="s">
        <v>344</v>
      </c>
      <c r="J15" s="26" t="s">
        <v>8</v>
      </c>
      <c r="K15" s="26"/>
      <c r="L15" s="25" t="s">
        <v>345</v>
      </c>
    </row>
    <row r="16" spans="1:12" ht="39.950000000000003" customHeight="1">
      <c r="A16" s="19">
        <v>13</v>
      </c>
      <c r="B16" s="11" t="s">
        <v>328</v>
      </c>
      <c r="C16" s="11" t="s">
        <v>329</v>
      </c>
      <c r="D16" s="33" t="s">
        <v>330</v>
      </c>
      <c r="E16" s="9" t="s">
        <v>367</v>
      </c>
      <c r="F16" s="8" t="s">
        <v>41</v>
      </c>
      <c r="G16" s="8" t="s">
        <v>312</v>
      </c>
      <c r="H16" s="34" t="s">
        <v>306</v>
      </c>
      <c r="I16" s="35" t="s">
        <v>332</v>
      </c>
      <c r="J16" s="26" t="s">
        <v>127</v>
      </c>
      <c r="K16" s="26" t="s">
        <v>364</v>
      </c>
      <c r="L16" s="25" t="s">
        <v>365</v>
      </c>
    </row>
    <row r="17" spans="1:12" ht="39.950000000000003" customHeight="1">
      <c r="A17" s="19">
        <v>14</v>
      </c>
      <c r="B17" s="11" t="s">
        <v>268</v>
      </c>
      <c r="C17" s="11" t="s">
        <v>134</v>
      </c>
      <c r="D17" s="33" t="s">
        <v>13</v>
      </c>
      <c r="E17" s="8" t="s">
        <v>135</v>
      </c>
      <c r="F17" s="8" t="s">
        <v>222</v>
      </c>
      <c r="G17" s="8" t="s">
        <v>221</v>
      </c>
      <c r="H17" s="34" t="s">
        <v>238</v>
      </c>
      <c r="I17" s="35" t="s">
        <v>269</v>
      </c>
      <c r="J17" s="26" t="s">
        <v>115</v>
      </c>
      <c r="K17" s="26" t="s">
        <v>203</v>
      </c>
      <c r="L17" s="22" t="s">
        <v>358</v>
      </c>
    </row>
    <row r="18" spans="1:12" ht="39.950000000000003" customHeight="1">
      <c r="A18" s="19">
        <v>15</v>
      </c>
      <c r="B18" s="11" t="s">
        <v>168</v>
      </c>
      <c r="C18" s="11" t="s">
        <v>114</v>
      </c>
      <c r="D18" s="33" t="s">
        <v>24</v>
      </c>
      <c r="E18" s="8" t="s">
        <v>100</v>
      </c>
      <c r="F18" s="8" t="s">
        <v>41</v>
      </c>
      <c r="G18" s="8" t="s">
        <v>221</v>
      </c>
      <c r="H18" s="34" t="s">
        <v>102</v>
      </c>
      <c r="I18" s="35" t="s">
        <v>113</v>
      </c>
      <c r="J18" s="26" t="s">
        <v>115</v>
      </c>
      <c r="K18" s="26" t="s">
        <v>116</v>
      </c>
      <c r="L18" s="21" t="s">
        <v>229</v>
      </c>
    </row>
    <row r="19" spans="1:12" ht="39.950000000000003" customHeight="1">
      <c r="A19" s="19">
        <v>16</v>
      </c>
      <c r="B19" s="11" t="s">
        <v>155</v>
      </c>
      <c r="C19" s="11" t="s">
        <v>156</v>
      </c>
      <c r="D19" s="33" t="s">
        <v>157</v>
      </c>
      <c r="E19" s="8" t="s">
        <v>135</v>
      </c>
      <c r="F19" s="8" t="s">
        <v>41</v>
      </c>
      <c r="G19" s="8" t="s">
        <v>51</v>
      </c>
      <c r="H19" s="34" t="s">
        <v>161</v>
      </c>
      <c r="I19" s="35" t="s">
        <v>160</v>
      </c>
      <c r="J19" s="26" t="s">
        <v>206</v>
      </c>
      <c r="K19" s="26" t="s">
        <v>163</v>
      </c>
      <c r="L19" s="21" t="s">
        <v>231</v>
      </c>
    </row>
    <row r="20" spans="1:12" ht="39.950000000000003" customHeight="1">
      <c r="A20" s="19">
        <v>17</v>
      </c>
      <c r="B20" s="11" t="s">
        <v>133</v>
      </c>
      <c r="C20" s="11" t="s">
        <v>134</v>
      </c>
      <c r="D20" s="33" t="s">
        <v>13</v>
      </c>
      <c r="E20" s="8" t="s">
        <v>135</v>
      </c>
      <c r="F20" s="8" t="s">
        <v>222</v>
      </c>
      <c r="G20" s="8" t="s">
        <v>221</v>
      </c>
      <c r="H20" s="34" t="s">
        <v>136</v>
      </c>
      <c r="I20" s="35" t="s">
        <v>137</v>
      </c>
      <c r="J20" s="26" t="s">
        <v>220</v>
      </c>
      <c r="K20" s="26" t="s">
        <v>205</v>
      </c>
      <c r="L20" s="21" t="s">
        <v>232</v>
      </c>
    </row>
    <row r="21" spans="1:12" ht="39.950000000000003" customHeight="1">
      <c r="A21" s="19">
        <v>18</v>
      </c>
      <c r="B21" s="11" t="s">
        <v>233</v>
      </c>
      <c r="C21" s="11" t="s">
        <v>234</v>
      </c>
      <c r="D21" s="33" t="s">
        <v>235</v>
      </c>
      <c r="E21" s="9" t="s">
        <v>237</v>
      </c>
      <c r="F21" s="8" t="s">
        <v>41</v>
      </c>
      <c r="G21" s="8" t="s">
        <v>149</v>
      </c>
      <c r="H21" s="34" t="s">
        <v>238</v>
      </c>
      <c r="I21" s="35" t="s">
        <v>137</v>
      </c>
      <c r="J21" s="26" t="s">
        <v>8</v>
      </c>
      <c r="K21" s="26"/>
      <c r="L21" s="8" t="s">
        <v>267</v>
      </c>
    </row>
    <row r="22" spans="1:12" ht="39.950000000000003" customHeight="1">
      <c r="A22" s="19">
        <v>19</v>
      </c>
      <c r="B22" s="11" t="s">
        <v>216</v>
      </c>
      <c r="C22" s="11" t="s">
        <v>120</v>
      </c>
      <c r="D22" s="33" t="s">
        <v>11</v>
      </c>
      <c r="E22" s="8" t="s">
        <v>117</v>
      </c>
      <c r="F22" s="8" t="s">
        <v>41</v>
      </c>
      <c r="G22" s="8" t="s">
        <v>144</v>
      </c>
      <c r="H22" s="34" t="s">
        <v>77</v>
      </c>
      <c r="I22" s="35" t="s">
        <v>118</v>
      </c>
      <c r="J22" s="26" t="s">
        <v>119</v>
      </c>
      <c r="K22" s="26" t="s">
        <v>116</v>
      </c>
      <c r="L22" s="22" t="s">
        <v>230</v>
      </c>
    </row>
    <row r="23" spans="1:12" ht="39.950000000000003" hidden="1" customHeight="1">
      <c r="A23" s="19">
        <v>20</v>
      </c>
      <c r="B23" s="11" t="s">
        <v>250</v>
      </c>
      <c r="C23" s="11" t="s">
        <v>322</v>
      </c>
      <c r="D23" s="33" t="s">
        <v>244</v>
      </c>
      <c r="E23" s="9" t="s">
        <v>323</v>
      </c>
      <c r="F23" s="8" t="s">
        <v>41</v>
      </c>
      <c r="G23" s="8" t="s">
        <v>251</v>
      </c>
      <c r="H23" s="34" t="s">
        <v>306</v>
      </c>
      <c r="I23" s="35" t="s">
        <v>141</v>
      </c>
      <c r="J23" s="26" t="s">
        <v>8</v>
      </c>
      <c r="K23" s="26"/>
      <c r="L23" s="25" t="s">
        <v>324</v>
      </c>
    </row>
    <row r="24" spans="1:12" ht="39.950000000000003" customHeight="1">
      <c r="A24" s="19">
        <v>21</v>
      </c>
      <c r="B24" s="28" t="s">
        <v>349</v>
      </c>
      <c r="C24" s="11" t="s">
        <v>189</v>
      </c>
      <c r="D24" s="33" t="s">
        <v>11</v>
      </c>
      <c r="E24" s="8" t="s">
        <v>104</v>
      </c>
      <c r="F24" s="8" t="s">
        <v>41</v>
      </c>
      <c r="G24" s="8" t="s">
        <v>51</v>
      </c>
      <c r="H24" s="34" t="s">
        <v>153</v>
      </c>
      <c r="I24" s="35" t="s">
        <v>126</v>
      </c>
      <c r="J24" s="26" t="s">
        <v>111</v>
      </c>
      <c r="K24" s="26" t="s">
        <v>98</v>
      </c>
      <c r="L24" s="22" t="s">
        <v>271</v>
      </c>
    </row>
    <row r="25" spans="1:12" ht="39.950000000000003" customHeight="1">
      <c r="A25" s="19">
        <v>22</v>
      </c>
      <c r="B25" s="28" t="s">
        <v>188</v>
      </c>
      <c r="C25" s="11" t="s">
        <v>195</v>
      </c>
      <c r="D25" s="33" t="s">
        <v>11</v>
      </c>
      <c r="E25" s="8" t="s">
        <v>104</v>
      </c>
      <c r="F25" s="8" t="s">
        <v>41</v>
      </c>
      <c r="G25" s="8" t="s">
        <v>192</v>
      </c>
      <c r="H25" s="34" t="s">
        <v>153</v>
      </c>
      <c r="I25" s="35" t="s">
        <v>126</v>
      </c>
      <c r="J25" s="26" t="s">
        <v>111</v>
      </c>
      <c r="K25" s="26" t="s">
        <v>270</v>
      </c>
      <c r="L25" s="22" t="s">
        <v>356</v>
      </c>
    </row>
    <row r="26" spans="1:12" ht="39.950000000000003" hidden="1" customHeight="1">
      <c r="A26" s="19">
        <v>23</v>
      </c>
      <c r="B26" s="28" t="s">
        <v>368</v>
      </c>
      <c r="C26" s="11" t="s">
        <v>369</v>
      </c>
      <c r="D26" s="33" t="s">
        <v>11</v>
      </c>
      <c r="E26" s="8" t="s">
        <v>104</v>
      </c>
      <c r="F26" s="8" t="s">
        <v>41</v>
      </c>
      <c r="G26" s="8" t="s">
        <v>251</v>
      </c>
      <c r="H26" s="34" t="s">
        <v>353</v>
      </c>
      <c r="I26" s="35" t="s">
        <v>370</v>
      </c>
      <c r="J26" s="26" t="s">
        <v>8</v>
      </c>
      <c r="K26" s="26" t="s">
        <v>270</v>
      </c>
      <c r="L26" s="22" t="s">
        <v>356</v>
      </c>
    </row>
    <row r="27" spans="1:12" ht="39.950000000000003" customHeight="1">
      <c r="A27" s="19">
        <v>24</v>
      </c>
      <c r="B27" s="11" t="s">
        <v>169</v>
      </c>
      <c r="C27" s="11" t="s">
        <v>152</v>
      </c>
      <c r="D27" s="33" t="s">
        <v>11</v>
      </c>
      <c r="E27" s="8" t="s">
        <v>104</v>
      </c>
      <c r="F27" s="8" t="s">
        <v>41</v>
      </c>
      <c r="G27" s="8" t="s">
        <v>51</v>
      </c>
      <c r="H27" s="34" t="s">
        <v>153</v>
      </c>
      <c r="I27" s="35" t="s">
        <v>154</v>
      </c>
      <c r="J27" s="26" t="s">
        <v>111</v>
      </c>
      <c r="K27" s="26" t="s">
        <v>162</v>
      </c>
      <c r="L27" s="22"/>
    </row>
    <row r="28" spans="1:12" ht="39.950000000000003" customHeight="1">
      <c r="A28" s="19">
        <v>25</v>
      </c>
      <c r="B28" s="11" t="s">
        <v>172</v>
      </c>
      <c r="C28" s="11" t="s">
        <v>173</v>
      </c>
      <c r="D28" s="33" t="s">
        <v>11</v>
      </c>
      <c r="E28" s="8" t="s">
        <v>104</v>
      </c>
      <c r="F28" s="8" t="s">
        <v>41</v>
      </c>
      <c r="G28" s="8" t="s">
        <v>144</v>
      </c>
      <c r="H28" s="34" t="s">
        <v>174</v>
      </c>
      <c r="I28" s="35" t="s">
        <v>126</v>
      </c>
      <c r="J28" s="26" t="s">
        <v>111</v>
      </c>
      <c r="K28" s="26" t="s">
        <v>162</v>
      </c>
      <c r="L28" s="22" t="s">
        <v>357</v>
      </c>
    </row>
    <row r="29" spans="1:12" ht="39.950000000000003" hidden="1" customHeight="1">
      <c r="A29" s="19">
        <v>26</v>
      </c>
      <c r="B29" s="11" t="s">
        <v>253</v>
      </c>
      <c r="C29" s="11" t="s">
        <v>243</v>
      </c>
      <c r="D29" s="33" t="s">
        <v>13</v>
      </c>
      <c r="E29" s="9" t="s">
        <v>254</v>
      </c>
      <c r="F29" s="8" t="s">
        <v>311</v>
      </c>
      <c r="G29" s="8" t="s">
        <v>251</v>
      </c>
      <c r="H29" s="34" t="s">
        <v>123</v>
      </c>
      <c r="I29" s="35" t="s">
        <v>255</v>
      </c>
      <c r="J29" s="26" t="s">
        <v>8</v>
      </c>
      <c r="K29" s="26"/>
      <c r="L29" s="25" t="s">
        <v>310</v>
      </c>
    </row>
    <row r="30" spans="1:12" ht="39.950000000000003" customHeight="1">
      <c r="A30" s="19">
        <v>27</v>
      </c>
      <c r="B30" s="11" t="s">
        <v>170</v>
      </c>
      <c r="C30" s="11" t="s">
        <v>62</v>
      </c>
      <c r="D30" s="33" t="s">
        <v>20</v>
      </c>
      <c r="E30" s="8" t="s">
        <v>104</v>
      </c>
      <c r="F30" s="8" t="s">
        <v>222</v>
      </c>
      <c r="G30" s="8" t="s">
        <v>221</v>
      </c>
      <c r="H30" s="34" t="s">
        <v>63</v>
      </c>
      <c r="I30" s="35" t="s">
        <v>9</v>
      </c>
      <c r="J30" s="26" t="s">
        <v>132</v>
      </c>
      <c r="K30" s="26" t="s">
        <v>105</v>
      </c>
      <c r="L30" s="22" t="s">
        <v>359</v>
      </c>
    </row>
    <row r="31" spans="1:12" ht="39.950000000000003" hidden="1" customHeight="1">
      <c r="A31" s="19">
        <v>28</v>
      </c>
      <c r="B31" s="11" t="s">
        <v>260</v>
      </c>
      <c r="C31" s="11" t="s">
        <v>261</v>
      </c>
      <c r="D31" s="33" t="s">
        <v>109</v>
      </c>
      <c r="E31" s="9" t="s">
        <v>262</v>
      </c>
      <c r="F31" s="8" t="s">
        <v>41</v>
      </c>
      <c r="G31" s="8" t="s">
        <v>251</v>
      </c>
      <c r="H31" s="34" t="s">
        <v>238</v>
      </c>
      <c r="I31" s="35" t="s">
        <v>263</v>
      </c>
      <c r="J31" s="26" t="s">
        <v>264</v>
      </c>
      <c r="K31" s="26"/>
      <c r="L31" s="25" t="s">
        <v>252</v>
      </c>
    </row>
    <row r="32" spans="1:12" ht="39.950000000000003" hidden="1" customHeight="1">
      <c r="A32" s="19">
        <v>29</v>
      </c>
      <c r="B32" s="11" t="s">
        <v>371</v>
      </c>
      <c r="C32" s="11" t="s">
        <v>372</v>
      </c>
      <c r="D32" s="33" t="s">
        <v>24</v>
      </c>
      <c r="E32" s="9" t="s">
        <v>262</v>
      </c>
      <c r="F32" s="8" t="s">
        <v>41</v>
      </c>
      <c r="G32" s="8" t="s">
        <v>251</v>
      </c>
      <c r="H32" s="34" t="s">
        <v>373</v>
      </c>
      <c r="I32" s="35" t="s">
        <v>374</v>
      </c>
      <c r="J32" s="26" t="s">
        <v>375</v>
      </c>
      <c r="K32" s="26"/>
      <c r="L32" s="25" t="s">
        <v>252</v>
      </c>
    </row>
    <row r="33" spans="1:12" ht="39.950000000000003" hidden="1" customHeight="1">
      <c r="A33" s="19">
        <v>30</v>
      </c>
      <c r="B33" s="11" t="s">
        <v>382</v>
      </c>
      <c r="C33" s="11" t="s">
        <v>383</v>
      </c>
      <c r="D33" s="33" t="s">
        <v>11</v>
      </c>
      <c r="E33" s="8" t="s">
        <v>130</v>
      </c>
      <c r="F33" s="8" t="s">
        <v>41</v>
      </c>
      <c r="G33" s="8" t="s">
        <v>251</v>
      </c>
      <c r="H33" s="34" t="s">
        <v>353</v>
      </c>
      <c r="I33" s="35" t="s">
        <v>384</v>
      </c>
      <c r="J33" s="26" t="s">
        <v>8</v>
      </c>
      <c r="K33" s="26"/>
      <c r="L33" s="22"/>
    </row>
    <row r="34" spans="1:12" ht="39.950000000000003" customHeight="1">
      <c r="A34" s="19">
        <v>31</v>
      </c>
      <c r="B34" s="11" t="s">
        <v>182</v>
      </c>
      <c r="C34" s="11" t="s">
        <v>180</v>
      </c>
      <c r="D34" s="33" t="s">
        <v>11</v>
      </c>
      <c r="E34" s="8" t="s">
        <v>130</v>
      </c>
      <c r="F34" s="8" t="s">
        <v>41</v>
      </c>
      <c r="G34" s="8" t="s">
        <v>221</v>
      </c>
      <c r="H34" s="34" t="s">
        <v>413</v>
      </c>
      <c r="I34" s="35" t="s">
        <v>181</v>
      </c>
      <c r="J34" s="26" t="s">
        <v>115</v>
      </c>
      <c r="K34" s="26" t="s">
        <v>183</v>
      </c>
      <c r="L34" s="22" t="s">
        <v>360</v>
      </c>
    </row>
    <row r="35" spans="1:12" ht="39.950000000000003" customHeight="1">
      <c r="A35" s="19">
        <v>32</v>
      </c>
      <c r="B35" s="11" t="s">
        <v>171</v>
      </c>
      <c r="C35" s="11" t="s">
        <v>164</v>
      </c>
      <c r="D35" s="33" t="s">
        <v>165</v>
      </c>
      <c r="E35" s="8" t="s">
        <v>130</v>
      </c>
      <c r="F35" s="8" t="s">
        <v>41</v>
      </c>
      <c r="G35" s="8" t="s">
        <v>149</v>
      </c>
      <c r="H35" s="34" t="s">
        <v>131</v>
      </c>
      <c r="I35" s="35" t="s">
        <v>166</v>
      </c>
      <c r="J35" s="26" t="s">
        <v>115</v>
      </c>
      <c r="K35" s="26" t="s">
        <v>218</v>
      </c>
      <c r="L35" s="22" t="s">
        <v>314</v>
      </c>
    </row>
    <row r="36" spans="1:12" ht="39.950000000000003" customHeight="1">
      <c r="A36" s="19">
        <v>33</v>
      </c>
      <c r="B36" s="11" t="s">
        <v>212</v>
      </c>
      <c r="C36" s="11" t="s">
        <v>213</v>
      </c>
      <c r="D36" s="33" t="s">
        <v>11</v>
      </c>
      <c r="E36" s="8" t="s">
        <v>130</v>
      </c>
      <c r="F36" s="8" t="s">
        <v>41</v>
      </c>
      <c r="G36" s="8" t="s">
        <v>312</v>
      </c>
      <c r="H36" s="34" t="s">
        <v>411</v>
      </c>
      <c r="I36" s="35" t="s">
        <v>214</v>
      </c>
      <c r="J36" s="26" t="s">
        <v>178</v>
      </c>
      <c r="K36" s="26" t="s">
        <v>215</v>
      </c>
      <c r="L36" s="22" t="s">
        <v>223</v>
      </c>
    </row>
    <row r="37" spans="1:12" ht="39.950000000000003" hidden="1" customHeight="1">
      <c r="A37" s="19">
        <v>34</v>
      </c>
      <c r="B37" s="11" t="s">
        <v>380</v>
      </c>
      <c r="C37" s="11" t="s">
        <v>381</v>
      </c>
      <c r="D37" s="33" t="s">
        <v>22</v>
      </c>
      <c r="E37" s="8" t="s">
        <v>130</v>
      </c>
      <c r="F37" s="8" t="s">
        <v>41</v>
      </c>
      <c r="G37" s="8" t="s">
        <v>251</v>
      </c>
      <c r="H37" s="34" t="s">
        <v>412</v>
      </c>
      <c r="I37" s="35" t="s">
        <v>126</v>
      </c>
      <c r="J37" s="26" t="s">
        <v>116</v>
      </c>
      <c r="K37" s="26"/>
      <c r="L37" s="22" t="s">
        <v>223</v>
      </c>
    </row>
    <row r="38" spans="1:12" ht="39.950000000000003" hidden="1" customHeight="1">
      <c r="A38" s="19">
        <v>35</v>
      </c>
      <c r="B38" s="11" t="s">
        <v>128</v>
      </c>
      <c r="C38" s="11" t="s">
        <v>129</v>
      </c>
      <c r="D38" s="33" t="s">
        <v>11</v>
      </c>
      <c r="E38" s="8" t="s">
        <v>130</v>
      </c>
      <c r="F38" s="8" t="s">
        <v>41</v>
      </c>
      <c r="G38" s="8" t="s">
        <v>150</v>
      </c>
      <c r="H38" s="34" t="s">
        <v>131</v>
      </c>
      <c r="I38" s="35" t="s">
        <v>217</v>
      </c>
      <c r="J38" s="26" t="s">
        <v>115</v>
      </c>
      <c r="K38" s="26" t="s">
        <v>224</v>
      </c>
      <c r="L38" s="22" t="s">
        <v>225</v>
      </c>
    </row>
    <row r="39" spans="1:12" ht="39.950000000000003" customHeight="1">
      <c r="A39" s="19">
        <v>36</v>
      </c>
      <c r="B39" s="11" t="s">
        <v>239</v>
      </c>
      <c r="C39" s="11" t="s">
        <v>240</v>
      </c>
      <c r="D39" s="33" t="s">
        <v>11</v>
      </c>
      <c r="E39" s="9" t="s">
        <v>241</v>
      </c>
      <c r="F39" s="8" t="s">
        <v>41</v>
      </c>
      <c r="G39" s="8" t="s">
        <v>312</v>
      </c>
      <c r="H39" s="34" t="s">
        <v>131</v>
      </c>
      <c r="I39" s="35" t="s">
        <v>154</v>
      </c>
      <c r="J39" s="26" t="s">
        <v>8</v>
      </c>
      <c r="K39" s="26"/>
      <c r="L39" s="25" t="s">
        <v>313</v>
      </c>
    </row>
    <row r="40" spans="1:12" ht="39.950000000000003" customHeight="1">
      <c r="A40" s="19">
        <v>37</v>
      </c>
      <c r="B40" s="11" t="s">
        <v>338</v>
      </c>
      <c r="C40" s="11" t="s">
        <v>339</v>
      </c>
      <c r="D40" s="33" t="s">
        <v>11</v>
      </c>
      <c r="E40" s="9" t="s">
        <v>340</v>
      </c>
      <c r="F40" s="8" t="s">
        <v>41</v>
      </c>
      <c r="G40" s="8" t="s">
        <v>101</v>
      </c>
      <c r="H40" s="34" t="s">
        <v>238</v>
      </c>
      <c r="I40" s="35" t="s">
        <v>346</v>
      </c>
      <c r="J40" s="26" t="s">
        <v>8</v>
      </c>
      <c r="K40" s="26"/>
      <c r="L40" s="25" t="s">
        <v>347</v>
      </c>
    </row>
    <row r="41" spans="1:12" ht="39.950000000000003" hidden="1" customHeight="1">
      <c r="A41" s="19">
        <v>38</v>
      </c>
      <c r="B41" s="11" t="s">
        <v>303</v>
      </c>
      <c r="C41" s="11" t="s">
        <v>304</v>
      </c>
      <c r="D41" s="33" t="s">
        <v>305</v>
      </c>
      <c r="E41" s="9" t="s">
        <v>254</v>
      </c>
      <c r="F41" s="8" t="s">
        <v>41</v>
      </c>
      <c r="G41" s="8" t="s">
        <v>251</v>
      </c>
      <c r="H41" s="34" t="s">
        <v>306</v>
      </c>
      <c r="I41" s="35" t="s">
        <v>307</v>
      </c>
      <c r="J41" s="26" t="s">
        <v>8</v>
      </c>
      <c r="K41" s="26"/>
      <c r="L41" s="25" t="s">
        <v>308</v>
      </c>
    </row>
    <row r="42" spans="1:12" ht="39.950000000000003" customHeight="1">
      <c r="A42" s="19">
        <v>39</v>
      </c>
      <c r="B42" s="28" t="s">
        <v>414</v>
      </c>
      <c r="C42" s="11" t="s">
        <v>415</v>
      </c>
      <c r="D42" s="33" t="s">
        <v>13</v>
      </c>
      <c r="E42" s="8" t="s">
        <v>352</v>
      </c>
      <c r="F42" s="8" t="s">
        <v>41</v>
      </c>
      <c r="G42" s="8" t="s">
        <v>151</v>
      </c>
      <c r="H42" s="34" t="s">
        <v>416</v>
      </c>
      <c r="I42" s="35" t="s">
        <v>390</v>
      </c>
      <c r="J42" s="26" t="s">
        <v>391</v>
      </c>
      <c r="K42" s="26"/>
      <c r="L42" s="22"/>
    </row>
    <row r="43" spans="1:12" ht="39.950000000000003" customHeight="1">
      <c r="A43" s="19">
        <v>39</v>
      </c>
      <c r="B43" s="28" t="s">
        <v>386</v>
      </c>
      <c r="C43" s="11" t="s">
        <v>387</v>
      </c>
      <c r="D43" s="33" t="s">
        <v>11</v>
      </c>
      <c r="E43" s="8" t="s">
        <v>352</v>
      </c>
      <c r="F43" s="8" t="s">
        <v>41</v>
      </c>
      <c r="G43" s="8" t="s">
        <v>51</v>
      </c>
      <c r="H43" s="34" t="s">
        <v>388</v>
      </c>
      <c r="I43" s="35" t="s">
        <v>390</v>
      </c>
      <c r="J43" s="26" t="s">
        <v>391</v>
      </c>
      <c r="K43" s="26"/>
      <c r="L43" s="22"/>
    </row>
    <row r="44" spans="1:12" ht="39.950000000000003" customHeight="1">
      <c r="A44" s="19">
        <v>40</v>
      </c>
      <c r="B44" s="28" t="s">
        <v>385</v>
      </c>
      <c r="C44" s="11" t="s">
        <v>393</v>
      </c>
      <c r="D44" s="33" t="s">
        <v>11</v>
      </c>
      <c r="E44" s="8" t="s">
        <v>392</v>
      </c>
      <c r="F44" s="8" t="s">
        <v>41</v>
      </c>
      <c r="G44" s="8" t="s">
        <v>221</v>
      </c>
      <c r="H44" s="34" t="s">
        <v>394</v>
      </c>
      <c r="I44" s="35" t="s">
        <v>389</v>
      </c>
      <c r="J44" s="26" t="s">
        <v>395</v>
      </c>
      <c r="K44" s="26"/>
      <c r="L44" s="22"/>
    </row>
    <row r="45" spans="1:12" ht="39.950000000000003" customHeight="1">
      <c r="A45" s="19">
        <v>41</v>
      </c>
      <c r="B45" s="28" t="s">
        <v>348</v>
      </c>
      <c r="C45" s="11" t="s">
        <v>125</v>
      </c>
      <c r="D45" s="33" t="s">
        <v>11</v>
      </c>
      <c r="E45" s="8" t="s">
        <v>397</v>
      </c>
      <c r="F45" s="8" t="s">
        <v>41</v>
      </c>
      <c r="G45" s="8" t="s">
        <v>151</v>
      </c>
      <c r="H45" s="34" t="s">
        <v>309</v>
      </c>
      <c r="I45" s="35" t="s">
        <v>126</v>
      </c>
      <c r="J45" s="26" t="s">
        <v>127</v>
      </c>
      <c r="K45" s="26" t="s">
        <v>116</v>
      </c>
      <c r="L45" s="22" t="s">
        <v>400</v>
      </c>
    </row>
    <row r="46" spans="1:12" ht="39.950000000000003" customHeight="1">
      <c r="A46" s="19">
        <v>42</v>
      </c>
      <c r="B46" s="28" t="s">
        <v>124</v>
      </c>
      <c r="C46" s="11" t="s">
        <v>398</v>
      </c>
      <c r="D46" s="33" t="s">
        <v>351</v>
      </c>
      <c r="E46" s="8" t="s">
        <v>396</v>
      </c>
      <c r="F46" s="8" t="s">
        <v>41</v>
      </c>
      <c r="G46" s="8" t="s">
        <v>144</v>
      </c>
      <c r="H46" s="34" t="s">
        <v>174</v>
      </c>
      <c r="I46" s="35" t="s">
        <v>126</v>
      </c>
      <c r="J46" s="26" t="s">
        <v>127</v>
      </c>
      <c r="K46" s="26" t="s">
        <v>402</v>
      </c>
      <c r="L46" s="22" t="s">
        <v>399</v>
      </c>
    </row>
    <row r="47" spans="1:12" ht="52.5" customHeight="1">
      <c r="A47" s="19">
        <v>43</v>
      </c>
      <c r="B47" s="28" t="s">
        <v>124</v>
      </c>
      <c r="C47" s="11" t="s">
        <v>404</v>
      </c>
      <c r="D47" s="33" t="s">
        <v>12</v>
      </c>
      <c r="E47" s="8" t="s">
        <v>405</v>
      </c>
      <c r="F47" s="8" t="s">
        <v>41</v>
      </c>
      <c r="G47" s="8" t="s">
        <v>151</v>
      </c>
      <c r="H47" s="34" t="s">
        <v>353</v>
      </c>
      <c r="I47" s="35" t="s">
        <v>126</v>
      </c>
      <c r="J47" s="26" t="s">
        <v>127</v>
      </c>
      <c r="K47" s="26" t="s">
        <v>401</v>
      </c>
      <c r="L47" s="22" t="s">
        <v>410</v>
      </c>
    </row>
    <row r="48" spans="1:12" ht="54.75" customHeight="1">
      <c r="A48" s="19">
        <v>44</v>
      </c>
      <c r="B48" s="28" t="s">
        <v>124</v>
      </c>
      <c r="C48" s="11" t="s">
        <v>403</v>
      </c>
      <c r="D48" s="33" t="s">
        <v>12</v>
      </c>
      <c r="E48" s="8" t="s">
        <v>405</v>
      </c>
      <c r="F48" s="8" t="s">
        <v>41</v>
      </c>
      <c r="G48" s="8" t="s">
        <v>51</v>
      </c>
      <c r="H48" s="34" t="s">
        <v>353</v>
      </c>
      <c r="I48" s="35" t="s">
        <v>126</v>
      </c>
      <c r="J48" s="26" t="s">
        <v>127</v>
      </c>
      <c r="K48" s="26" t="s">
        <v>401</v>
      </c>
      <c r="L48" s="22" t="s">
        <v>409</v>
      </c>
    </row>
    <row r="49" spans="1:12" ht="50.25" customHeight="1">
      <c r="A49" s="19">
        <v>45</v>
      </c>
      <c r="B49" s="28" t="s">
        <v>124</v>
      </c>
      <c r="C49" s="11" t="s">
        <v>406</v>
      </c>
      <c r="D49" s="33" t="s">
        <v>12</v>
      </c>
      <c r="E49" s="8" t="s">
        <v>396</v>
      </c>
      <c r="F49" s="8" t="s">
        <v>41</v>
      </c>
      <c r="G49" s="8" t="s">
        <v>51</v>
      </c>
      <c r="H49" s="34" t="s">
        <v>407</v>
      </c>
      <c r="I49" s="35" t="s">
        <v>126</v>
      </c>
      <c r="J49" s="26" t="s">
        <v>127</v>
      </c>
      <c r="K49" s="26" t="s">
        <v>401</v>
      </c>
      <c r="L49" s="22" t="s">
        <v>408</v>
      </c>
    </row>
    <row r="50" spans="1:12" ht="39.950000000000003" customHeight="1">
      <c r="A50" s="19">
        <v>46</v>
      </c>
      <c r="B50" s="17" t="s">
        <v>196</v>
      </c>
      <c r="C50" s="17" t="s">
        <v>197</v>
      </c>
      <c r="D50" s="33" t="s">
        <v>198</v>
      </c>
      <c r="E50" s="18" t="s">
        <v>199</v>
      </c>
      <c r="F50" s="8" t="s">
        <v>41</v>
      </c>
      <c r="G50" s="8" t="s">
        <v>144</v>
      </c>
      <c r="H50" s="31" t="s">
        <v>200</v>
      </c>
      <c r="I50" s="32" t="s">
        <v>201</v>
      </c>
      <c r="J50" s="19" t="s">
        <v>202</v>
      </c>
      <c r="K50" s="19" t="s">
        <v>203</v>
      </c>
      <c r="L50" s="20" t="s">
        <v>363</v>
      </c>
    </row>
    <row r="51" spans="1:12" ht="39.950000000000003" customHeight="1">
      <c r="A51" s="19">
        <v>47</v>
      </c>
      <c r="B51" s="17" t="s">
        <v>103</v>
      </c>
      <c r="C51" s="17" t="s">
        <v>122</v>
      </c>
      <c r="D51" s="33" t="s">
        <v>22</v>
      </c>
      <c r="E51" s="18" t="s">
        <v>60</v>
      </c>
      <c r="F51" s="8" t="s">
        <v>41</v>
      </c>
      <c r="G51" s="8" t="s">
        <v>149</v>
      </c>
      <c r="H51" s="31" t="s">
        <v>123</v>
      </c>
      <c r="I51" s="32" t="s">
        <v>121</v>
      </c>
      <c r="J51" s="19" t="s">
        <v>8</v>
      </c>
      <c r="K51" s="19" t="s">
        <v>98</v>
      </c>
      <c r="L51" s="20" t="s">
        <v>361</v>
      </c>
    </row>
    <row r="52" spans="1:12" ht="39.950000000000003" customHeight="1">
      <c r="A52" s="19">
        <v>48</v>
      </c>
      <c r="B52" s="11" t="s">
        <v>256</v>
      </c>
      <c r="C52" s="11" t="s">
        <v>257</v>
      </c>
      <c r="D52" s="33" t="s">
        <v>24</v>
      </c>
      <c r="E52" s="9" t="s">
        <v>254</v>
      </c>
      <c r="F52" s="8" t="s">
        <v>258</v>
      </c>
      <c r="G52" s="8" t="s">
        <v>247</v>
      </c>
      <c r="H52" s="34" t="s">
        <v>153</v>
      </c>
      <c r="I52" s="35" t="s">
        <v>255</v>
      </c>
      <c r="J52" s="26" t="s">
        <v>8</v>
      </c>
      <c r="K52" s="26"/>
      <c r="L52" s="25" t="s">
        <v>259</v>
      </c>
    </row>
    <row r="53" spans="1:12" ht="39.950000000000003" customHeight="1">
      <c r="A53" s="19">
        <v>49</v>
      </c>
      <c r="B53" s="11" t="s">
        <v>138</v>
      </c>
      <c r="C53" s="11" t="s">
        <v>139</v>
      </c>
      <c r="D53" s="33" t="s">
        <v>13</v>
      </c>
      <c r="E53" s="9" t="s">
        <v>59</v>
      </c>
      <c r="F53" s="8" t="s">
        <v>222</v>
      </c>
      <c r="G53" s="8" t="s">
        <v>221</v>
      </c>
      <c r="H53" s="34" t="s">
        <v>140</v>
      </c>
      <c r="I53" s="35" t="s">
        <v>141</v>
      </c>
      <c r="J53" s="26" t="s">
        <v>142</v>
      </c>
      <c r="K53" s="26" t="s">
        <v>143</v>
      </c>
      <c r="L53" s="25" t="s">
        <v>362</v>
      </c>
    </row>
  </sheetData>
  <autoFilter ref="G1:G53">
    <filterColumn colId="0">
      <filters blank="1">
        <filter val="04-售前-投标"/>
        <filter val="05-售前-待启动实施"/>
        <filter val="06-实施-实施方案制定"/>
        <filter val="07-实施-环境搭建"/>
        <filter val="08-实施-集成开发"/>
        <filter val="09-实施-集成测试"/>
        <filter val="12-实施-上线"/>
        <filter val="13-实施-试运行"/>
        <filter val="18-咨询-实施阶段"/>
        <filter val="项目阶段"/>
      </filters>
    </filterColumn>
  </autoFilter>
  <sortState ref="B5:L44">
    <sortCondition ref="B4"/>
  </sortState>
  <dataConsolidate/>
  <mergeCells count="2">
    <mergeCell ref="A1:L1"/>
    <mergeCell ref="A2:B2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G4:G18 G20:G53</xm:sqref>
        </x14:dataValidation>
        <x14:dataValidation type="list" allowBlank="1" showInputMessage="1" showErrorMessage="1">
          <x14:formula1>
            <xm:f>dictionary!$A$2:$A$18</xm:f>
          </x14:formula1>
          <xm:sqref>D4 D11:D14 D16:D21 D6:D9 D24:D37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G19</xm:sqref>
        </x14:dataValidation>
        <x14:dataValidation type="list" allowBlank="1" showInputMessage="1" showErrorMessage="1">
          <x14:formula1>
            <xm:f>dictionary!$A$2:$A$20</xm:f>
          </x14:formula1>
          <xm:sqref>D15</xm:sqref>
        </x14:dataValidation>
        <x14:dataValidation type="list" allowBlank="1" showInputMessage="1" showErrorMessage="1">
          <x14:formula1>
            <xm:f>dictionary!$A$2:$A$21</xm:f>
          </x14:formula1>
          <xm:sqref>D5 D22:D23 D10 D38:D53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17" sqref="F17"/>
    </sheetView>
  </sheetViews>
  <sheetFormatPr defaultRowHeight="13.5"/>
  <cols>
    <col min="1" max="1" width="9" customWidth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7"/>
  <sheetViews>
    <sheetView workbookViewId="0">
      <selection activeCell="B34" sqref="B34"/>
    </sheetView>
  </sheetViews>
  <sheetFormatPr defaultRowHeight="13.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>
      <c r="A1" s="7" t="s">
        <v>10</v>
      </c>
      <c r="B1" t="s">
        <v>28</v>
      </c>
      <c r="C1" t="s">
        <v>39</v>
      </c>
      <c r="D1" t="s">
        <v>40</v>
      </c>
    </row>
    <row r="2" spans="1:4">
      <c r="A2" t="s">
        <v>12</v>
      </c>
      <c r="B2" t="s">
        <v>29</v>
      </c>
      <c r="C2" t="s">
        <v>42</v>
      </c>
      <c r="D2" t="s">
        <v>44</v>
      </c>
    </row>
    <row r="3" spans="1:4">
      <c r="A3" t="s">
        <v>26</v>
      </c>
      <c r="B3" t="s">
        <v>30</v>
      </c>
      <c r="C3" t="s">
        <v>57</v>
      </c>
      <c r="D3" t="s">
        <v>45</v>
      </c>
    </row>
    <row r="4" spans="1:4">
      <c r="A4" t="s">
        <v>14</v>
      </c>
      <c r="B4" t="s">
        <v>31</v>
      </c>
      <c r="C4" t="s">
        <v>43</v>
      </c>
      <c r="D4" t="s">
        <v>46</v>
      </c>
    </row>
    <row r="5" spans="1:4">
      <c r="A5" t="s">
        <v>15</v>
      </c>
      <c r="B5" t="s">
        <v>32</v>
      </c>
      <c r="C5" t="s">
        <v>58</v>
      </c>
      <c r="D5" t="s">
        <v>47</v>
      </c>
    </row>
    <row r="6" spans="1:4">
      <c r="A6" t="s">
        <v>16</v>
      </c>
      <c r="B6" t="s">
        <v>33</v>
      </c>
      <c r="C6" t="s">
        <v>97</v>
      </c>
      <c r="D6" t="s">
        <v>48</v>
      </c>
    </row>
    <row r="7" spans="1:4">
      <c r="A7" t="s">
        <v>27</v>
      </c>
      <c r="B7" t="s">
        <v>34</v>
      </c>
      <c r="D7" t="s">
        <v>49</v>
      </c>
    </row>
    <row r="8" spans="1:4">
      <c r="A8" t="s">
        <v>17</v>
      </c>
      <c r="B8" t="s">
        <v>36</v>
      </c>
      <c r="D8" t="s">
        <v>50</v>
      </c>
    </row>
    <row r="9" spans="1:4">
      <c r="A9" t="s">
        <v>18</v>
      </c>
      <c r="B9" t="s">
        <v>35</v>
      </c>
      <c r="D9" t="s">
        <v>52</v>
      </c>
    </row>
    <row r="10" spans="1:4">
      <c r="A10" t="s">
        <v>19</v>
      </c>
      <c r="B10" t="s">
        <v>37</v>
      </c>
      <c r="D10" t="s">
        <v>53</v>
      </c>
    </row>
    <row r="11" spans="1:4">
      <c r="A11" t="s">
        <v>21</v>
      </c>
      <c r="B11" t="s">
        <v>38</v>
      </c>
      <c r="D11" t="s">
        <v>54</v>
      </c>
    </row>
    <row r="12" spans="1:4">
      <c r="A12" t="s">
        <v>23</v>
      </c>
      <c r="B12" t="s">
        <v>67</v>
      </c>
      <c r="D12" t="s">
        <v>55</v>
      </c>
    </row>
    <row r="13" spans="1:4">
      <c r="A13" t="s">
        <v>25</v>
      </c>
      <c r="B13" t="s">
        <v>68</v>
      </c>
      <c r="D13" t="s">
        <v>56</v>
      </c>
    </row>
    <row r="14" spans="1:4">
      <c r="A14" t="s">
        <v>66</v>
      </c>
      <c r="B14" t="s">
        <v>69</v>
      </c>
      <c r="D14" t="s">
        <v>145</v>
      </c>
    </row>
    <row r="15" spans="1:4">
      <c r="A15" t="s">
        <v>95</v>
      </c>
      <c r="B15" t="s">
        <v>70</v>
      </c>
      <c r="D15" t="s">
        <v>146</v>
      </c>
    </row>
    <row r="16" spans="1:4">
      <c r="A16" t="s">
        <v>96</v>
      </c>
      <c r="B16" t="s">
        <v>71</v>
      </c>
      <c r="D16" t="s">
        <v>147</v>
      </c>
    </row>
    <row r="17" spans="1:4">
      <c r="A17" t="s">
        <v>110</v>
      </c>
      <c r="B17" t="s">
        <v>72</v>
      </c>
      <c r="D17" t="s">
        <v>148</v>
      </c>
    </row>
    <row r="18" spans="1:4">
      <c r="A18" t="s">
        <v>158</v>
      </c>
      <c r="B18" t="s">
        <v>73</v>
      </c>
      <c r="D18" t="s">
        <v>190</v>
      </c>
    </row>
    <row r="19" spans="1:4">
      <c r="A19" t="s">
        <v>159</v>
      </c>
      <c r="B19" t="s">
        <v>74</v>
      </c>
      <c r="D19" t="s">
        <v>193</v>
      </c>
    </row>
    <row r="20" spans="1:4">
      <c r="A20" t="s">
        <v>236</v>
      </c>
      <c r="B20" t="s">
        <v>78</v>
      </c>
      <c r="D20" t="s">
        <v>191</v>
      </c>
    </row>
    <row r="21" spans="1:4">
      <c r="A21" t="s">
        <v>245</v>
      </c>
      <c r="B21" t="s">
        <v>79</v>
      </c>
      <c r="D21" t="s">
        <v>194</v>
      </c>
    </row>
    <row r="22" spans="1:4">
      <c r="B22" t="s">
        <v>80</v>
      </c>
    </row>
    <row r="23" spans="1:4">
      <c r="B23" t="s">
        <v>81</v>
      </c>
    </row>
    <row r="24" spans="1:4">
      <c r="B24" t="s">
        <v>82</v>
      </c>
    </row>
    <row r="25" spans="1:4">
      <c r="B25" t="s">
        <v>83</v>
      </c>
    </row>
    <row r="26" spans="1:4">
      <c r="B26" t="s">
        <v>84</v>
      </c>
    </row>
    <row r="27" spans="1:4">
      <c r="B27" t="s">
        <v>85</v>
      </c>
    </row>
    <row r="28" spans="1:4">
      <c r="B28" t="s">
        <v>86</v>
      </c>
    </row>
    <row r="29" spans="1:4">
      <c r="B29" t="s">
        <v>87</v>
      </c>
    </row>
    <row r="30" spans="1:4">
      <c r="B30" t="s">
        <v>88</v>
      </c>
    </row>
    <row r="31" spans="1:4">
      <c r="B31" t="s">
        <v>89</v>
      </c>
    </row>
    <row r="32" spans="1:4">
      <c r="B32" t="s">
        <v>90</v>
      </c>
    </row>
    <row r="33" spans="2:2">
      <c r="B33" t="s">
        <v>91</v>
      </c>
    </row>
    <row r="34" spans="2:2">
      <c r="B34" t="s">
        <v>92</v>
      </c>
    </row>
    <row r="35" spans="2:2">
      <c r="B35" t="s">
        <v>93</v>
      </c>
    </row>
    <row r="36" spans="2:2">
      <c r="B36" t="s">
        <v>94</v>
      </c>
    </row>
    <row r="37" spans="2:2">
      <c r="B37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topLeftCell="A16" workbookViewId="0">
      <selection activeCell="A2" sqref="A2"/>
    </sheetView>
  </sheetViews>
  <sheetFormatPr defaultRowHeight="13.5"/>
  <cols>
    <col min="1" max="1" width="9" customWidth="1"/>
    <col min="2" max="7" width="24.625" customWidth="1"/>
  </cols>
  <sheetData>
    <row r="1" spans="1:7" ht="39.950000000000003" customHeight="1">
      <c r="A1" s="40" t="s">
        <v>302</v>
      </c>
      <c r="B1" s="40"/>
      <c r="C1" s="40"/>
      <c r="D1" s="40"/>
      <c r="E1" s="40"/>
      <c r="F1" s="40"/>
      <c r="G1" s="40"/>
    </row>
    <row r="2" spans="1:7" ht="39.950000000000003" customHeight="1">
      <c r="A2" s="27" t="s">
        <v>272</v>
      </c>
      <c r="B2" s="27" t="s">
        <v>273</v>
      </c>
      <c r="C2" s="27" t="s">
        <v>61</v>
      </c>
      <c r="D2" s="27" t="s">
        <v>274</v>
      </c>
      <c r="E2" s="27" t="s">
        <v>276</v>
      </c>
      <c r="F2" s="27" t="s">
        <v>275</v>
      </c>
      <c r="G2" s="27" t="s">
        <v>294</v>
      </c>
    </row>
    <row r="3" spans="1:7" s="24" customFormat="1" ht="55.5" customHeight="1">
      <c r="A3" s="5">
        <v>2</v>
      </c>
      <c r="B3" s="17" t="s">
        <v>175</v>
      </c>
      <c r="C3" s="17" t="s">
        <v>176</v>
      </c>
      <c r="D3" s="18" t="s">
        <v>277</v>
      </c>
      <c r="E3" s="18" t="s">
        <v>284</v>
      </c>
      <c r="F3" s="18" t="s">
        <v>293</v>
      </c>
      <c r="G3" s="18" t="s">
        <v>299</v>
      </c>
    </row>
    <row r="4" spans="1:7" s="24" customFormat="1" ht="60.75" customHeight="1">
      <c r="A4" s="5">
        <v>3</v>
      </c>
      <c r="B4" s="17" t="s">
        <v>210</v>
      </c>
      <c r="C4" s="17" t="s">
        <v>211</v>
      </c>
      <c r="D4" s="18" t="s">
        <v>278</v>
      </c>
      <c r="E4" s="18" t="s">
        <v>284</v>
      </c>
      <c r="F4" s="18" t="s">
        <v>291</v>
      </c>
      <c r="G4" s="18" t="s">
        <v>299</v>
      </c>
    </row>
    <row r="5" spans="1:7" s="1" customFormat="1" ht="39.950000000000003" customHeight="1">
      <c r="A5" s="5">
        <v>23</v>
      </c>
      <c r="B5" s="11" t="s">
        <v>233</v>
      </c>
      <c r="C5" s="11" t="s">
        <v>234</v>
      </c>
      <c r="D5" s="18" t="s">
        <v>279</v>
      </c>
      <c r="E5" s="18" t="s">
        <v>285</v>
      </c>
      <c r="F5" s="18" t="s">
        <v>292</v>
      </c>
      <c r="G5" s="18"/>
    </row>
    <row r="6" spans="1:7" s="1" customFormat="1" ht="39.950000000000003" customHeight="1">
      <c r="A6" s="5">
        <v>9</v>
      </c>
      <c r="B6" s="11" t="s">
        <v>268</v>
      </c>
      <c r="C6" s="11" t="s">
        <v>134</v>
      </c>
      <c r="D6" s="18" t="s">
        <v>203</v>
      </c>
      <c r="E6" s="18" t="s">
        <v>286</v>
      </c>
      <c r="F6" s="18" t="s">
        <v>295</v>
      </c>
      <c r="G6" s="18"/>
    </row>
    <row r="7" spans="1:7" s="1" customFormat="1" ht="39.950000000000003" customHeight="1">
      <c r="A7" s="5">
        <v>10</v>
      </c>
      <c r="B7" s="38" t="s">
        <v>188</v>
      </c>
      <c r="C7" s="11" t="s">
        <v>189</v>
      </c>
      <c r="D7" s="18" t="s">
        <v>280</v>
      </c>
      <c r="E7" s="8" t="s">
        <v>287</v>
      </c>
      <c r="F7" s="18" t="s">
        <v>295</v>
      </c>
      <c r="G7" s="18"/>
    </row>
    <row r="8" spans="1:7" s="1" customFormat="1" ht="39.950000000000003" customHeight="1">
      <c r="A8" s="5">
        <v>11</v>
      </c>
      <c r="B8" s="39"/>
      <c r="C8" s="11" t="s">
        <v>195</v>
      </c>
      <c r="D8" s="18" t="s">
        <v>279</v>
      </c>
      <c r="E8" s="8" t="s">
        <v>288</v>
      </c>
      <c r="F8" s="18" t="s">
        <v>295</v>
      </c>
      <c r="G8" s="18"/>
    </row>
    <row r="9" spans="1:7" s="1" customFormat="1" ht="66" customHeight="1">
      <c r="A9" s="5">
        <v>13</v>
      </c>
      <c r="B9" s="11" t="s">
        <v>172</v>
      </c>
      <c r="C9" s="11" t="s">
        <v>173</v>
      </c>
      <c r="D9" s="18" t="s">
        <v>281</v>
      </c>
      <c r="E9" s="8"/>
      <c r="F9" s="18" t="s">
        <v>296</v>
      </c>
      <c r="G9" s="18" t="s">
        <v>300</v>
      </c>
    </row>
    <row r="10" spans="1:7" s="1" customFormat="1" ht="39.950000000000003" customHeight="1">
      <c r="A10" s="5">
        <v>15</v>
      </c>
      <c r="B10" s="11" t="s">
        <v>182</v>
      </c>
      <c r="C10" s="11" t="s">
        <v>180</v>
      </c>
      <c r="D10" s="18" t="s">
        <v>282</v>
      </c>
      <c r="E10" s="8" t="s">
        <v>289</v>
      </c>
      <c r="F10" s="18" t="s">
        <v>297</v>
      </c>
      <c r="G10" s="18" t="s">
        <v>301</v>
      </c>
    </row>
    <row r="11" spans="1:7" s="1" customFormat="1" ht="63.75" customHeight="1">
      <c r="A11" s="5">
        <v>21</v>
      </c>
      <c r="B11" s="6" t="s">
        <v>124</v>
      </c>
      <c r="C11" s="11" t="s">
        <v>125</v>
      </c>
      <c r="D11" s="18" t="s">
        <v>283</v>
      </c>
      <c r="E11" s="8" t="s">
        <v>290</v>
      </c>
      <c r="F11" s="18" t="s">
        <v>298</v>
      </c>
      <c r="G11" s="18" t="s">
        <v>301</v>
      </c>
    </row>
  </sheetData>
  <mergeCells count="2">
    <mergeCell ref="B7:B8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项目跟踪表</vt:lpstr>
      <vt:lpstr>Sheet1</vt:lpstr>
      <vt:lpstr>dictionary</vt:lpstr>
      <vt:lpstr>紧急项目一览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2017-08-20T14:54:22Z</dcterms:modified>
</cp:coreProperties>
</file>